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8180" windowHeight="11892"/>
  </bookViews>
  <sheets>
    <sheet name="Ark1" sheetId="1" r:id="rId1"/>
    <sheet name="Ark2" sheetId="2" r:id="rId2"/>
    <sheet name="Ark3" sheetId="3" r:id="rId3"/>
  </sheets>
  <calcPr calcId="145621"/>
</workbook>
</file>

<file path=xl/calcChain.xml><?xml version="1.0" encoding="utf-8"?>
<calcChain xmlns="http://schemas.openxmlformats.org/spreadsheetml/2006/main">
  <c r="L3" i="1" l="1"/>
  <c r="N3" i="1"/>
  <c r="P3" i="1"/>
  <c r="R3" i="1"/>
  <c r="T3" i="1"/>
  <c r="V3" i="1"/>
  <c r="X3" i="1"/>
  <c r="Z3" i="1"/>
  <c r="L4" i="1"/>
  <c r="N4" i="1"/>
  <c r="P4" i="1"/>
  <c r="R4" i="1"/>
  <c r="T4" i="1"/>
  <c r="V4" i="1"/>
  <c r="X4" i="1"/>
  <c r="Z4" i="1"/>
  <c r="L5" i="1"/>
  <c r="N5" i="1"/>
  <c r="P5" i="1"/>
  <c r="R5" i="1"/>
  <c r="T5" i="1"/>
  <c r="V5" i="1"/>
  <c r="X5" i="1"/>
  <c r="Z5" i="1"/>
  <c r="L6" i="1"/>
  <c r="N6" i="1"/>
  <c r="P6" i="1"/>
  <c r="R6" i="1"/>
  <c r="T6" i="1"/>
  <c r="V6" i="1"/>
  <c r="X6" i="1"/>
  <c r="Z6" i="1"/>
  <c r="L7" i="1"/>
  <c r="N7" i="1"/>
  <c r="P7" i="1"/>
  <c r="R7" i="1"/>
  <c r="T7" i="1"/>
  <c r="V7" i="1"/>
  <c r="X7" i="1"/>
  <c r="Z7" i="1"/>
  <c r="L8" i="1"/>
  <c r="N8" i="1"/>
  <c r="P8" i="1"/>
  <c r="R8" i="1"/>
  <c r="T8" i="1"/>
  <c r="V8" i="1"/>
  <c r="X8" i="1"/>
  <c r="Z8" i="1"/>
  <c r="L9" i="1"/>
  <c r="N9" i="1"/>
  <c r="P9" i="1"/>
  <c r="R9" i="1"/>
  <c r="T9" i="1"/>
  <c r="V9" i="1"/>
  <c r="X9" i="1"/>
  <c r="Z9" i="1"/>
  <c r="L10" i="1"/>
  <c r="N10" i="1"/>
  <c r="P10" i="1"/>
  <c r="R10" i="1"/>
  <c r="T10" i="1"/>
  <c r="V10" i="1"/>
  <c r="X10" i="1"/>
  <c r="Z10" i="1"/>
  <c r="L11" i="1"/>
  <c r="N11" i="1"/>
  <c r="P11" i="1"/>
  <c r="R11" i="1"/>
  <c r="T11" i="1"/>
  <c r="V11" i="1"/>
  <c r="X11" i="1"/>
  <c r="Z11" i="1"/>
  <c r="L12" i="1"/>
  <c r="N12" i="1"/>
  <c r="P12" i="1"/>
  <c r="R12" i="1"/>
  <c r="T12" i="1"/>
  <c r="V12" i="1"/>
  <c r="X12" i="1"/>
  <c r="Z12" i="1"/>
  <c r="L13" i="1"/>
  <c r="N13" i="1"/>
  <c r="P13" i="1"/>
  <c r="R13" i="1"/>
  <c r="T13" i="1"/>
  <c r="V13" i="1"/>
  <c r="X13" i="1"/>
  <c r="Z13" i="1"/>
  <c r="L14" i="1"/>
  <c r="N14" i="1"/>
  <c r="P14" i="1"/>
  <c r="R14" i="1"/>
  <c r="T14" i="1"/>
  <c r="V14" i="1"/>
  <c r="X14" i="1"/>
  <c r="Z14" i="1"/>
  <c r="L15" i="1"/>
  <c r="N15" i="1"/>
  <c r="P15" i="1"/>
  <c r="R15" i="1"/>
  <c r="T15" i="1"/>
  <c r="V15" i="1"/>
  <c r="X15" i="1"/>
  <c r="Z15" i="1"/>
  <c r="L16" i="1"/>
  <c r="N16" i="1"/>
  <c r="P16" i="1"/>
  <c r="R16" i="1"/>
  <c r="T16" i="1"/>
  <c r="V16" i="1"/>
  <c r="X16" i="1"/>
  <c r="Z16" i="1"/>
  <c r="L17" i="1"/>
  <c r="N17" i="1"/>
  <c r="P17" i="1"/>
  <c r="R17" i="1"/>
  <c r="T17" i="1"/>
  <c r="V17" i="1"/>
  <c r="X17" i="1"/>
  <c r="Z17" i="1"/>
  <c r="L18" i="1"/>
  <c r="N18" i="1"/>
  <c r="P18" i="1"/>
  <c r="R18" i="1"/>
  <c r="T18" i="1"/>
  <c r="V18" i="1"/>
  <c r="X18" i="1"/>
  <c r="Z18" i="1"/>
  <c r="L19" i="1"/>
  <c r="N19" i="1"/>
  <c r="P19" i="1"/>
  <c r="R19" i="1"/>
  <c r="T19" i="1"/>
  <c r="V19" i="1"/>
  <c r="X19" i="1"/>
  <c r="Z19" i="1"/>
  <c r="L20" i="1"/>
  <c r="N20" i="1"/>
  <c r="P20" i="1"/>
  <c r="R20" i="1"/>
  <c r="T20" i="1"/>
  <c r="V20" i="1"/>
  <c r="X20" i="1"/>
  <c r="Z20" i="1"/>
  <c r="L21" i="1"/>
  <c r="N21" i="1"/>
  <c r="P21" i="1"/>
  <c r="R21" i="1"/>
  <c r="T21" i="1"/>
  <c r="V21" i="1"/>
  <c r="X21" i="1"/>
  <c r="Z21" i="1"/>
  <c r="L22" i="1"/>
  <c r="N22" i="1"/>
  <c r="P22" i="1"/>
  <c r="R22" i="1"/>
  <c r="T22" i="1"/>
  <c r="V22" i="1"/>
  <c r="X22" i="1"/>
  <c r="Z22" i="1"/>
  <c r="L23" i="1"/>
  <c r="N23" i="1"/>
  <c r="P23" i="1"/>
  <c r="R23" i="1"/>
  <c r="T23" i="1"/>
  <c r="V23" i="1"/>
  <c r="X23" i="1"/>
  <c r="Z23" i="1"/>
  <c r="L24" i="1"/>
  <c r="N24" i="1"/>
  <c r="P24" i="1"/>
  <c r="R24" i="1"/>
  <c r="T24" i="1"/>
  <c r="V24" i="1"/>
  <c r="X24" i="1"/>
  <c r="Z24" i="1"/>
  <c r="L25" i="1"/>
  <c r="N25" i="1"/>
  <c r="P25" i="1"/>
  <c r="R25" i="1"/>
  <c r="T25" i="1"/>
  <c r="V25" i="1"/>
  <c r="X25" i="1"/>
  <c r="Z25" i="1"/>
  <c r="L26" i="1"/>
  <c r="N26" i="1"/>
  <c r="P26" i="1"/>
  <c r="R26" i="1"/>
  <c r="T26" i="1"/>
  <c r="V26" i="1"/>
  <c r="X26" i="1"/>
  <c r="Z26" i="1"/>
  <c r="L27" i="1"/>
  <c r="N27" i="1"/>
  <c r="P27" i="1"/>
  <c r="R27" i="1"/>
  <c r="T27" i="1"/>
  <c r="V27" i="1"/>
  <c r="X27" i="1"/>
  <c r="Z27" i="1"/>
  <c r="L28" i="1"/>
  <c r="N28" i="1"/>
  <c r="P28" i="1"/>
  <c r="R28" i="1"/>
  <c r="T28" i="1"/>
  <c r="V28" i="1"/>
  <c r="X28" i="1"/>
  <c r="Z28" i="1"/>
  <c r="L29" i="1"/>
  <c r="N29" i="1"/>
  <c r="P29" i="1"/>
  <c r="R29" i="1"/>
  <c r="T29" i="1"/>
  <c r="V29" i="1"/>
  <c r="X29" i="1"/>
  <c r="Z29" i="1"/>
  <c r="L30" i="1"/>
  <c r="N30" i="1"/>
  <c r="P30" i="1"/>
  <c r="R30" i="1"/>
  <c r="T30" i="1"/>
  <c r="V30" i="1"/>
  <c r="X30" i="1"/>
  <c r="Z30" i="1"/>
  <c r="L31" i="1"/>
  <c r="N31" i="1"/>
  <c r="P31" i="1"/>
  <c r="R31" i="1"/>
  <c r="T31" i="1"/>
  <c r="V31" i="1"/>
  <c r="X31" i="1"/>
  <c r="Z31" i="1"/>
  <c r="L32" i="1"/>
  <c r="N32" i="1"/>
  <c r="P32" i="1"/>
  <c r="R32" i="1"/>
  <c r="T32" i="1"/>
  <c r="V32" i="1"/>
  <c r="X32" i="1"/>
  <c r="Z32" i="1"/>
  <c r="L33" i="1"/>
  <c r="N33" i="1"/>
  <c r="P33" i="1"/>
  <c r="R33" i="1"/>
  <c r="T33" i="1"/>
  <c r="V33" i="1"/>
  <c r="X33" i="1"/>
  <c r="Z33" i="1"/>
  <c r="L34" i="1"/>
  <c r="N34" i="1"/>
  <c r="P34" i="1"/>
  <c r="R34" i="1"/>
  <c r="T34" i="1"/>
  <c r="V34" i="1"/>
  <c r="X34" i="1"/>
  <c r="Z34" i="1"/>
  <c r="L35" i="1"/>
  <c r="N35" i="1"/>
  <c r="P35" i="1"/>
  <c r="R35" i="1"/>
  <c r="T35" i="1"/>
  <c r="V35" i="1"/>
  <c r="X35" i="1"/>
  <c r="Z35" i="1"/>
  <c r="L36" i="1"/>
  <c r="N36" i="1"/>
  <c r="P36" i="1"/>
  <c r="R36" i="1"/>
  <c r="T36" i="1"/>
  <c r="V36" i="1"/>
  <c r="X36" i="1"/>
  <c r="Z36" i="1"/>
  <c r="L37" i="1"/>
  <c r="N37" i="1"/>
  <c r="P37" i="1"/>
  <c r="R37" i="1"/>
  <c r="T37" i="1"/>
  <c r="V37" i="1"/>
  <c r="X37" i="1"/>
  <c r="Z37" i="1"/>
  <c r="L38" i="1"/>
  <c r="N38" i="1"/>
  <c r="P38" i="1"/>
  <c r="R38" i="1"/>
  <c r="T38" i="1"/>
  <c r="V38" i="1"/>
  <c r="X38" i="1"/>
  <c r="Z38" i="1"/>
  <c r="L39" i="1"/>
  <c r="N39" i="1"/>
  <c r="P39" i="1"/>
  <c r="R39" i="1"/>
  <c r="T39" i="1"/>
  <c r="V39" i="1"/>
  <c r="X39" i="1"/>
  <c r="Z39" i="1"/>
  <c r="L40" i="1"/>
  <c r="N40" i="1"/>
  <c r="P40" i="1"/>
  <c r="R40" i="1"/>
  <c r="T40" i="1"/>
  <c r="V40" i="1"/>
  <c r="X40" i="1"/>
  <c r="Z40" i="1"/>
  <c r="L41" i="1"/>
  <c r="N41" i="1"/>
  <c r="P41" i="1"/>
  <c r="R41" i="1"/>
  <c r="T41" i="1"/>
  <c r="V41" i="1"/>
  <c r="X41" i="1"/>
  <c r="Z41" i="1"/>
  <c r="L42" i="1"/>
  <c r="N42" i="1"/>
  <c r="P42" i="1"/>
  <c r="R42" i="1"/>
  <c r="T42" i="1"/>
  <c r="V42" i="1"/>
  <c r="X42" i="1"/>
  <c r="Z42" i="1"/>
  <c r="L43" i="1"/>
  <c r="N43" i="1"/>
  <c r="P43" i="1"/>
  <c r="R43" i="1"/>
  <c r="T43" i="1"/>
  <c r="V43" i="1"/>
  <c r="X43" i="1"/>
  <c r="Z43" i="1"/>
  <c r="L44" i="1"/>
  <c r="N44" i="1"/>
  <c r="P44" i="1"/>
  <c r="R44" i="1"/>
  <c r="T44" i="1"/>
  <c r="V44" i="1"/>
  <c r="X44" i="1"/>
  <c r="Z44" i="1"/>
  <c r="L45" i="1"/>
  <c r="N45" i="1"/>
  <c r="P45" i="1"/>
  <c r="R45" i="1"/>
  <c r="T45" i="1"/>
  <c r="V45" i="1"/>
  <c r="X45" i="1"/>
  <c r="Z45" i="1"/>
  <c r="L46" i="1"/>
  <c r="N46" i="1"/>
  <c r="P46" i="1"/>
  <c r="R46" i="1"/>
  <c r="T46" i="1"/>
  <c r="V46" i="1"/>
  <c r="X46" i="1"/>
  <c r="Z46" i="1"/>
  <c r="L47" i="1"/>
  <c r="N47" i="1"/>
  <c r="P47" i="1"/>
  <c r="R47" i="1"/>
  <c r="T47" i="1"/>
  <c r="V47" i="1"/>
  <c r="X47" i="1"/>
  <c r="Z47" i="1"/>
  <c r="L48" i="1"/>
  <c r="N48" i="1"/>
  <c r="P48" i="1"/>
  <c r="R48" i="1"/>
  <c r="T48" i="1"/>
  <c r="V48" i="1"/>
  <c r="X48" i="1"/>
  <c r="Z48" i="1"/>
  <c r="L49" i="1"/>
  <c r="N49" i="1"/>
  <c r="P49" i="1"/>
  <c r="R49" i="1"/>
  <c r="T49" i="1"/>
  <c r="V49" i="1"/>
  <c r="X49" i="1"/>
  <c r="Z49" i="1"/>
  <c r="L50" i="1"/>
  <c r="N50" i="1"/>
  <c r="P50" i="1"/>
  <c r="R50" i="1"/>
  <c r="T50" i="1"/>
  <c r="V50" i="1"/>
  <c r="X50" i="1"/>
  <c r="Z50" i="1"/>
  <c r="L51" i="1"/>
  <c r="N51" i="1"/>
  <c r="P51" i="1"/>
  <c r="R51" i="1"/>
  <c r="T51" i="1"/>
  <c r="V51" i="1"/>
  <c r="X51" i="1"/>
  <c r="Z51" i="1"/>
  <c r="L52" i="1"/>
  <c r="N52" i="1"/>
  <c r="P52" i="1"/>
  <c r="R52" i="1"/>
  <c r="T52" i="1"/>
  <c r="V52" i="1"/>
  <c r="X52" i="1"/>
  <c r="Z52" i="1"/>
  <c r="L53" i="1"/>
  <c r="N53" i="1"/>
  <c r="P53" i="1"/>
  <c r="R53" i="1"/>
  <c r="T53" i="1"/>
  <c r="V53" i="1"/>
  <c r="X53" i="1"/>
  <c r="Z53" i="1"/>
  <c r="L54" i="1"/>
  <c r="N54" i="1"/>
  <c r="P54" i="1"/>
  <c r="R54" i="1"/>
  <c r="T54" i="1"/>
  <c r="V54" i="1"/>
  <c r="X54" i="1"/>
  <c r="Z54" i="1"/>
  <c r="L55" i="1"/>
  <c r="N55" i="1"/>
  <c r="P55" i="1"/>
  <c r="R55" i="1"/>
  <c r="T55" i="1"/>
  <c r="V55" i="1"/>
  <c r="X55" i="1"/>
  <c r="Z55" i="1"/>
  <c r="L56" i="1"/>
  <c r="N56" i="1"/>
  <c r="P56" i="1"/>
  <c r="R56" i="1"/>
  <c r="T56" i="1"/>
  <c r="V56" i="1"/>
  <c r="X56" i="1"/>
  <c r="Z56" i="1"/>
  <c r="L57" i="1"/>
  <c r="N57" i="1"/>
  <c r="P57" i="1"/>
  <c r="R57" i="1"/>
  <c r="T57" i="1"/>
  <c r="V57" i="1"/>
  <c r="X57" i="1"/>
  <c r="Z57" i="1"/>
  <c r="L58" i="1"/>
  <c r="N58" i="1"/>
  <c r="P58" i="1"/>
  <c r="R58" i="1"/>
  <c r="T58" i="1"/>
  <c r="V58" i="1"/>
  <c r="X58" i="1"/>
  <c r="Z58" i="1"/>
  <c r="L59" i="1"/>
  <c r="N59" i="1"/>
  <c r="P59" i="1"/>
  <c r="R59" i="1"/>
  <c r="T59" i="1"/>
  <c r="V59" i="1"/>
  <c r="X59" i="1"/>
  <c r="Z59" i="1"/>
  <c r="L60" i="1"/>
  <c r="N60" i="1"/>
  <c r="P60" i="1"/>
  <c r="R60" i="1"/>
  <c r="T60" i="1"/>
  <c r="V60" i="1"/>
  <c r="X60" i="1"/>
  <c r="Z60" i="1"/>
  <c r="L61" i="1"/>
  <c r="N61" i="1"/>
  <c r="P61" i="1"/>
  <c r="R61" i="1"/>
  <c r="T61" i="1"/>
  <c r="V61" i="1"/>
  <c r="X61" i="1"/>
  <c r="Z61" i="1"/>
  <c r="L62" i="1"/>
  <c r="N62" i="1"/>
  <c r="P62" i="1"/>
  <c r="R62" i="1"/>
  <c r="T62" i="1"/>
  <c r="V62" i="1"/>
  <c r="X62" i="1"/>
  <c r="Z62" i="1"/>
  <c r="L63" i="1"/>
  <c r="N63" i="1"/>
  <c r="P63" i="1"/>
  <c r="R63" i="1"/>
  <c r="T63" i="1"/>
  <c r="V63" i="1"/>
  <c r="X63" i="1"/>
  <c r="Z63" i="1"/>
  <c r="L64" i="1"/>
  <c r="N64" i="1"/>
  <c r="P64" i="1"/>
  <c r="R64" i="1"/>
  <c r="T64" i="1"/>
  <c r="V64" i="1"/>
  <c r="X64" i="1"/>
  <c r="Z64" i="1"/>
  <c r="L65" i="1"/>
  <c r="N65" i="1"/>
  <c r="P65" i="1"/>
  <c r="R65" i="1"/>
  <c r="T65" i="1"/>
  <c r="V65" i="1"/>
  <c r="X65" i="1"/>
  <c r="Z65" i="1"/>
  <c r="L66" i="1"/>
  <c r="N66" i="1"/>
  <c r="P66" i="1"/>
  <c r="R66" i="1"/>
  <c r="T66" i="1"/>
  <c r="V66" i="1"/>
  <c r="X66" i="1"/>
  <c r="Z66" i="1"/>
  <c r="L67" i="1"/>
  <c r="N67" i="1"/>
  <c r="P67" i="1"/>
  <c r="R67" i="1"/>
  <c r="T67" i="1"/>
  <c r="V67" i="1"/>
  <c r="X67" i="1"/>
  <c r="Z67" i="1"/>
  <c r="L68" i="1"/>
  <c r="N68" i="1"/>
  <c r="P68" i="1"/>
  <c r="R68" i="1"/>
  <c r="T68" i="1"/>
  <c r="V68" i="1"/>
  <c r="X68" i="1"/>
  <c r="Z68" i="1"/>
  <c r="L69" i="1"/>
  <c r="N69" i="1"/>
  <c r="P69" i="1"/>
  <c r="R69" i="1"/>
  <c r="T69" i="1"/>
  <c r="V69" i="1"/>
  <c r="X69" i="1"/>
  <c r="Z69" i="1"/>
  <c r="L70" i="1"/>
  <c r="N70" i="1"/>
  <c r="P70" i="1"/>
  <c r="R70" i="1"/>
  <c r="T70" i="1"/>
  <c r="V70" i="1"/>
  <c r="X70" i="1"/>
  <c r="Z70" i="1"/>
  <c r="L71" i="1"/>
  <c r="N71" i="1"/>
  <c r="P71" i="1"/>
  <c r="R71" i="1"/>
  <c r="T71" i="1"/>
  <c r="V71" i="1"/>
  <c r="X71" i="1"/>
  <c r="Z71" i="1"/>
  <c r="L72" i="1"/>
  <c r="N72" i="1"/>
  <c r="P72" i="1"/>
  <c r="R72" i="1"/>
  <c r="T72" i="1"/>
  <c r="V72" i="1"/>
  <c r="X72" i="1"/>
  <c r="Z72" i="1"/>
  <c r="L73" i="1"/>
  <c r="N73" i="1"/>
  <c r="P73" i="1"/>
  <c r="R73" i="1"/>
  <c r="T73" i="1"/>
  <c r="V73" i="1"/>
  <c r="X73" i="1"/>
  <c r="Z73" i="1"/>
  <c r="L74" i="1"/>
  <c r="N74" i="1"/>
  <c r="P74" i="1"/>
  <c r="R74" i="1"/>
  <c r="T74" i="1"/>
  <c r="V74" i="1"/>
  <c r="X74" i="1"/>
  <c r="Z74" i="1"/>
  <c r="L75" i="1"/>
  <c r="N75" i="1"/>
  <c r="P75" i="1"/>
  <c r="R75" i="1"/>
  <c r="T75" i="1"/>
  <c r="V75" i="1"/>
  <c r="X75" i="1"/>
  <c r="Z75" i="1"/>
  <c r="L76" i="1"/>
  <c r="N76" i="1"/>
  <c r="P76" i="1"/>
  <c r="R76" i="1"/>
  <c r="T76" i="1"/>
  <c r="V76" i="1"/>
  <c r="X76" i="1"/>
  <c r="Z76" i="1"/>
  <c r="L77" i="1"/>
  <c r="N77" i="1"/>
  <c r="P77" i="1"/>
  <c r="R77" i="1"/>
  <c r="T77" i="1"/>
  <c r="V77" i="1"/>
  <c r="X77" i="1"/>
  <c r="Z77" i="1"/>
  <c r="L78" i="1"/>
  <c r="N78" i="1"/>
  <c r="P78" i="1"/>
  <c r="R78" i="1"/>
  <c r="T78" i="1"/>
  <c r="V78" i="1"/>
  <c r="X78" i="1"/>
  <c r="Z78" i="1"/>
  <c r="L79" i="1"/>
  <c r="N79" i="1"/>
  <c r="P79" i="1"/>
  <c r="R79" i="1"/>
  <c r="T79" i="1"/>
  <c r="V79" i="1"/>
  <c r="X79" i="1"/>
  <c r="Z79" i="1"/>
  <c r="L80" i="1"/>
  <c r="N80" i="1"/>
  <c r="P80" i="1"/>
  <c r="R80" i="1"/>
  <c r="T80" i="1"/>
  <c r="V80" i="1"/>
  <c r="X80" i="1"/>
  <c r="Z80" i="1"/>
  <c r="L81" i="1"/>
  <c r="N81" i="1"/>
  <c r="P81" i="1"/>
  <c r="R81" i="1"/>
  <c r="T81" i="1"/>
  <c r="V81" i="1"/>
  <c r="X81" i="1"/>
  <c r="Z81" i="1"/>
  <c r="L82" i="1"/>
  <c r="N82" i="1"/>
  <c r="P82" i="1"/>
  <c r="R82" i="1"/>
  <c r="T82" i="1"/>
  <c r="V82" i="1"/>
  <c r="X82" i="1"/>
  <c r="Z82" i="1"/>
  <c r="L83" i="1"/>
  <c r="N83" i="1"/>
  <c r="P83" i="1"/>
  <c r="R83" i="1"/>
  <c r="T83" i="1"/>
  <c r="V83" i="1"/>
  <c r="X83" i="1"/>
  <c r="Z83" i="1"/>
  <c r="L84" i="1"/>
  <c r="N84" i="1"/>
  <c r="P84" i="1"/>
  <c r="R84" i="1"/>
  <c r="T84" i="1"/>
  <c r="V84" i="1"/>
  <c r="X84" i="1"/>
  <c r="Z84" i="1"/>
  <c r="L85" i="1"/>
  <c r="N85" i="1"/>
  <c r="P85" i="1"/>
  <c r="R85" i="1"/>
  <c r="T85" i="1"/>
  <c r="V85" i="1"/>
  <c r="X85" i="1"/>
  <c r="Z85" i="1"/>
  <c r="L86" i="1"/>
  <c r="N86" i="1"/>
  <c r="P86" i="1"/>
  <c r="R86" i="1"/>
  <c r="T86" i="1"/>
  <c r="V86" i="1"/>
  <c r="X86" i="1"/>
  <c r="Z86" i="1"/>
  <c r="L87" i="1"/>
  <c r="N87" i="1"/>
  <c r="P87" i="1"/>
  <c r="R87" i="1"/>
  <c r="T87" i="1"/>
  <c r="V87" i="1"/>
  <c r="X87" i="1"/>
  <c r="Z87" i="1"/>
  <c r="L88" i="1"/>
  <c r="N88" i="1"/>
  <c r="P88" i="1"/>
  <c r="R88" i="1"/>
  <c r="T88" i="1"/>
  <c r="V88" i="1"/>
  <c r="X88" i="1"/>
  <c r="Z88" i="1"/>
  <c r="L89" i="1"/>
  <c r="N89" i="1"/>
  <c r="P89" i="1"/>
  <c r="R89" i="1"/>
  <c r="T89" i="1"/>
  <c r="V89" i="1"/>
  <c r="X89" i="1"/>
  <c r="Z89" i="1"/>
  <c r="L90" i="1"/>
  <c r="N90" i="1"/>
  <c r="P90" i="1"/>
  <c r="R90" i="1"/>
  <c r="T90" i="1"/>
  <c r="V90" i="1"/>
  <c r="X90" i="1"/>
  <c r="Z90" i="1"/>
  <c r="L91" i="1"/>
  <c r="N91" i="1"/>
  <c r="P91" i="1"/>
  <c r="R91" i="1"/>
  <c r="T91" i="1"/>
  <c r="V91" i="1"/>
  <c r="X91" i="1"/>
  <c r="Z91" i="1"/>
  <c r="L92" i="1"/>
  <c r="N92" i="1"/>
  <c r="P92" i="1"/>
  <c r="R92" i="1"/>
  <c r="T92" i="1"/>
  <c r="V92" i="1"/>
  <c r="X92" i="1"/>
  <c r="Z92" i="1"/>
  <c r="L93" i="1"/>
  <c r="N93" i="1"/>
  <c r="P93" i="1"/>
  <c r="R93" i="1"/>
  <c r="T93" i="1"/>
  <c r="V93" i="1"/>
  <c r="X93" i="1"/>
  <c r="Z93" i="1"/>
  <c r="L94" i="1"/>
  <c r="N94" i="1"/>
  <c r="P94" i="1"/>
  <c r="R94" i="1"/>
  <c r="T94" i="1"/>
  <c r="V94" i="1"/>
  <c r="X94" i="1"/>
  <c r="Z94" i="1"/>
  <c r="L95" i="1"/>
  <c r="N95" i="1"/>
  <c r="P95" i="1"/>
  <c r="R95" i="1"/>
  <c r="T95" i="1"/>
  <c r="V95" i="1"/>
  <c r="X95" i="1"/>
  <c r="Z95" i="1"/>
  <c r="L96" i="1"/>
  <c r="N96" i="1"/>
  <c r="P96" i="1"/>
  <c r="R96" i="1"/>
  <c r="T96" i="1"/>
  <c r="V96" i="1"/>
  <c r="X96" i="1"/>
  <c r="Z96" i="1"/>
  <c r="L97" i="1"/>
  <c r="N97" i="1"/>
  <c r="P97" i="1"/>
  <c r="R97" i="1"/>
  <c r="T97" i="1"/>
  <c r="V97" i="1"/>
  <c r="X97" i="1"/>
  <c r="Z97" i="1"/>
  <c r="L98" i="1"/>
  <c r="N98" i="1"/>
  <c r="P98" i="1"/>
  <c r="R98" i="1"/>
  <c r="T98" i="1"/>
  <c r="V98" i="1"/>
  <c r="X98" i="1"/>
  <c r="Z98" i="1"/>
  <c r="L99" i="1"/>
  <c r="N99" i="1"/>
  <c r="P99" i="1"/>
  <c r="R99" i="1"/>
  <c r="T99" i="1"/>
  <c r="V99" i="1"/>
  <c r="X99" i="1"/>
  <c r="Z99" i="1"/>
  <c r="L100" i="1"/>
  <c r="N100" i="1"/>
  <c r="P100" i="1"/>
  <c r="R100" i="1"/>
  <c r="T100" i="1"/>
  <c r="V100" i="1"/>
  <c r="X100" i="1"/>
  <c r="Z100" i="1"/>
  <c r="L101" i="1"/>
  <c r="N101" i="1"/>
  <c r="P101" i="1"/>
  <c r="R101" i="1"/>
  <c r="T101" i="1"/>
  <c r="V101" i="1"/>
  <c r="X101" i="1"/>
  <c r="Z101" i="1"/>
  <c r="L102" i="1"/>
  <c r="N102" i="1"/>
  <c r="P102" i="1"/>
  <c r="R102" i="1"/>
  <c r="T102" i="1"/>
  <c r="V102" i="1"/>
  <c r="X102" i="1"/>
  <c r="Z102" i="1"/>
  <c r="L103" i="1"/>
  <c r="N103" i="1"/>
  <c r="P103" i="1"/>
  <c r="R103" i="1"/>
  <c r="T103" i="1"/>
  <c r="V103" i="1"/>
  <c r="X103" i="1"/>
  <c r="Z103" i="1"/>
  <c r="L104" i="1"/>
  <c r="N104" i="1"/>
  <c r="P104" i="1"/>
  <c r="R104" i="1"/>
  <c r="T104" i="1"/>
  <c r="V104" i="1"/>
  <c r="X104" i="1"/>
  <c r="Z104" i="1"/>
  <c r="L105" i="1"/>
  <c r="N105" i="1"/>
  <c r="P105" i="1"/>
  <c r="R105" i="1"/>
  <c r="T105" i="1"/>
  <c r="V105" i="1"/>
  <c r="X105" i="1"/>
  <c r="Z105" i="1"/>
  <c r="L106" i="1"/>
  <c r="N106" i="1"/>
  <c r="P106" i="1"/>
  <c r="R106" i="1"/>
  <c r="T106" i="1"/>
  <c r="V106" i="1"/>
  <c r="X106" i="1"/>
  <c r="Z106" i="1"/>
  <c r="L107" i="1"/>
  <c r="N107" i="1"/>
  <c r="P107" i="1"/>
  <c r="R107" i="1"/>
  <c r="T107" i="1"/>
  <c r="V107" i="1"/>
  <c r="X107" i="1"/>
  <c r="Z107" i="1"/>
  <c r="L108" i="1"/>
  <c r="N108" i="1"/>
  <c r="P108" i="1"/>
  <c r="R108" i="1"/>
  <c r="T108" i="1"/>
  <c r="V108" i="1"/>
  <c r="X108" i="1"/>
  <c r="Z108" i="1"/>
  <c r="L109" i="1"/>
  <c r="N109" i="1"/>
  <c r="P109" i="1"/>
  <c r="R109" i="1"/>
  <c r="T109" i="1"/>
  <c r="V109" i="1"/>
  <c r="X109" i="1"/>
  <c r="Z109" i="1"/>
  <c r="L110" i="1"/>
  <c r="N110" i="1"/>
  <c r="P110" i="1"/>
  <c r="R110" i="1"/>
  <c r="T110" i="1"/>
  <c r="V110" i="1"/>
  <c r="X110" i="1"/>
  <c r="Z110" i="1"/>
  <c r="L111" i="1"/>
  <c r="N111" i="1"/>
  <c r="P111" i="1"/>
  <c r="R111" i="1"/>
  <c r="T111" i="1"/>
  <c r="V111" i="1"/>
  <c r="X111" i="1"/>
  <c r="Z111" i="1"/>
  <c r="Z2" i="1" l="1"/>
  <c r="X2" i="1"/>
  <c r="V2" i="1"/>
  <c r="T2" i="1"/>
  <c r="N2" i="1"/>
  <c r="R2" i="1"/>
  <c r="P2" i="1"/>
  <c r="L2" i="1"/>
  <c r="AE3" i="1"/>
  <c r="AG3" i="1"/>
  <c r="AI3" i="1"/>
  <c r="AK3" i="1"/>
  <c r="AM3" i="1"/>
  <c r="AE4" i="1"/>
  <c r="AG4" i="1"/>
  <c r="AI4" i="1"/>
  <c r="AK4" i="1"/>
  <c r="AM4" i="1"/>
  <c r="AE5" i="1"/>
  <c r="AG5" i="1"/>
  <c r="AI5" i="1"/>
  <c r="AK5" i="1"/>
  <c r="AM5" i="1"/>
  <c r="AE6" i="1"/>
  <c r="AG6" i="1"/>
  <c r="AI6" i="1"/>
  <c r="AK6" i="1"/>
  <c r="AM6" i="1"/>
  <c r="AE7" i="1"/>
  <c r="AG7" i="1"/>
  <c r="AI7" i="1"/>
  <c r="AK7" i="1"/>
  <c r="AM7" i="1"/>
  <c r="AE8" i="1"/>
  <c r="AG8" i="1"/>
  <c r="AI8" i="1"/>
  <c r="AK8" i="1"/>
  <c r="AM8" i="1"/>
  <c r="AE9" i="1"/>
  <c r="AG9" i="1"/>
  <c r="AI9" i="1"/>
  <c r="AK9" i="1"/>
  <c r="AM9" i="1"/>
  <c r="AE10" i="1"/>
  <c r="AG10" i="1"/>
  <c r="AI10" i="1"/>
  <c r="AK10" i="1"/>
  <c r="AM10" i="1"/>
  <c r="AE11" i="1"/>
  <c r="AG11" i="1"/>
  <c r="AI11" i="1"/>
  <c r="AK11" i="1"/>
  <c r="AM11" i="1"/>
  <c r="AE13" i="1"/>
  <c r="AG13" i="1"/>
  <c r="AI13" i="1"/>
  <c r="AK13" i="1"/>
  <c r="AM13" i="1"/>
  <c r="AE14" i="1"/>
  <c r="AG14" i="1"/>
  <c r="AI14" i="1"/>
  <c r="AK14" i="1"/>
  <c r="AM14" i="1"/>
  <c r="AE15" i="1"/>
  <c r="AG15" i="1"/>
  <c r="AI15" i="1"/>
  <c r="AK15" i="1"/>
  <c r="AM15" i="1"/>
  <c r="AE18" i="1"/>
  <c r="AG18" i="1"/>
  <c r="AI18" i="1"/>
  <c r="AK18" i="1"/>
  <c r="AM18" i="1"/>
  <c r="AE19" i="1"/>
  <c r="AG19" i="1"/>
  <c r="AI19" i="1"/>
  <c r="AK19" i="1"/>
  <c r="AM19" i="1"/>
  <c r="AE20" i="1"/>
  <c r="AG20" i="1"/>
  <c r="AI20" i="1"/>
  <c r="AK20" i="1"/>
  <c r="AM20" i="1"/>
  <c r="AE22" i="1"/>
  <c r="AG22" i="1"/>
  <c r="AI22" i="1"/>
  <c r="AK22" i="1"/>
  <c r="AM22" i="1"/>
  <c r="AE23" i="1"/>
  <c r="AG23" i="1"/>
  <c r="AI23" i="1"/>
  <c r="AK23" i="1"/>
  <c r="AM23" i="1"/>
  <c r="AE25" i="1"/>
  <c r="AG25" i="1"/>
  <c r="AI25" i="1"/>
  <c r="AK25" i="1"/>
  <c r="AM25" i="1"/>
  <c r="AE27" i="1"/>
  <c r="AG27" i="1"/>
  <c r="AI27" i="1"/>
  <c r="AK27" i="1"/>
  <c r="AM27" i="1"/>
  <c r="AE28" i="1"/>
  <c r="AG28" i="1"/>
  <c r="AI28" i="1"/>
  <c r="AK28" i="1"/>
  <c r="AM28" i="1"/>
  <c r="AE29" i="1"/>
  <c r="AG29" i="1"/>
  <c r="AI29" i="1"/>
  <c r="AK29" i="1"/>
  <c r="AM29" i="1"/>
  <c r="AE30" i="1"/>
  <c r="AG30" i="1"/>
  <c r="AI30" i="1"/>
  <c r="AK30" i="1"/>
  <c r="AM30" i="1"/>
  <c r="AE31" i="1"/>
  <c r="AG31" i="1"/>
  <c r="AI31" i="1"/>
  <c r="AK31" i="1"/>
  <c r="AM31" i="1"/>
  <c r="AE33" i="1"/>
  <c r="AG33" i="1"/>
  <c r="AI33" i="1"/>
  <c r="AK33" i="1"/>
  <c r="AM33" i="1"/>
  <c r="AE34" i="1"/>
  <c r="AG34" i="1"/>
  <c r="AI34" i="1"/>
  <c r="AK34" i="1"/>
  <c r="AM34" i="1"/>
  <c r="AE35" i="1"/>
  <c r="AG35" i="1"/>
  <c r="AI35" i="1"/>
  <c r="AK35" i="1"/>
  <c r="AM35" i="1"/>
  <c r="AE36" i="1"/>
  <c r="AG36" i="1"/>
  <c r="AI36" i="1"/>
  <c r="AK36" i="1"/>
  <c r="AM36" i="1"/>
  <c r="AE37" i="1"/>
  <c r="AG37" i="1"/>
  <c r="AI37" i="1"/>
  <c r="AK37" i="1"/>
  <c r="AM37" i="1"/>
  <c r="AE38" i="1"/>
  <c r="AG38" i="1"/>
  <c r="AI38" i="1"/>
  <c r="AK38" i="1"/>
  <c r="AM38" i="1"/>
  <c r="AE40" i="1"/>
  <c r="AG40" i="1"/>
  <c r="AI40" i="1"/>
  <c r="AK40" i="1"/>
  <c r="AM40" i="1"/>
  <c r="AE41" i="1"/>
  <c r="AG41" i="1"/>
  <c r="AI41" i="1"/>
  <c r="AK41" i="1"/>
  <c r="AM41" i="1"/>
  <c r="AE42" i="1"/>
  <c r="AG42" i="1"/>
  <c r="AI42" i="1"/>
  <c r="AK42" i="1"/>
  <c r="AM42" i="1"/>
  <c r="AE43" i="1"/>
  <c r="AG43" i="1"/>
  <c r="AI43" i="1"/>
  <c r="AK43" i="1"/>
  <c r="AM43" i="1"/>
  <c r="AE44" i="1"/>
  <c r="AG44" i="1"/>
  <c r="AI44" i="1"/>
  <c r="AK44" i="1"/>
  <c r="AM44" i="1"/>
  <c r="AE45" i="1"/>
  <c r="AG45" i="1"/>
  <c r="AI45" i="1"/>
  <c r="AK45" i="1"/>
  <c r="AM45" i="1"/>
  <c r="AE46" i="1"/>
  <c r="AG46" i="1"/>
  <c r="AI46" i="1"/>
  <c r="AK46" i="1"/>
  <c r="AM46" i="1"/>
  <c r="AE47" i="1"/>
  <c r="AG47" i="1"/>
  <c r="AI47" i="1"/>
  <c r="AK47" i="1"/>
  <c r="AM47" i="1"/>
  <c r="AE48" i="1"/>
  <c r="AG48" i="1"/>
  <c r="AI48" i="1"/>
  <c r="AK48" i="1"/>
  <c r="AM48" i="1"/>
  <c r="AE49" i="1"/>
  <c r="AG49" i="1"/>
  <c r="AI49" i="1"/>
  <c r="AK49" i="1"/>
  <c r="AM49" i="1"/>
  <c r="AE50" i="1"/>
  <c r="AG50" i="1"/>
  <c r="AI50" i="1"/>
  <c r="AK50" i="1"/>
  <c r="AM50" i="1"/>
  <c r="AE51" i="1"/>
  <c r="AG51" i="1"/>
  <c r="AI51" i="1"/>
  <c r="AK51" i="1"/>
  <c r="AM51" i="1"/>
  <c r="AE52" i="1"/>
  <c r="AG52" i="1"/>
  <c r="AI52" i="1"/>
  <c r="AK52" i="1"/>
  <c r="AM52" i="1"/>
  <c r="AE53" i="1"/>
  <c r="AG53" i="1"/>
  <c r="AI53" i="1"/>
  <c r="AK53" i="1"/>
  <c r="AM53" i="1"/>
  <c r="AE54" i="1"/>
  <c r="AG54" i="1"/>
  <c r="AI54" i="1"/>
  <c r="AK54" i="1"/>
  <c r="AM54" i="1"/>
  <c r="AE55" i="1"/>
  <c r="AG55" i="1"/>
  <c r="AI55" i="1"/>
  <c r="AK55" i="1"/>
  <c r="AM55" i="1"/>
  <c r="AE56" i="1"/>
  <c r="AG56" i="1"/>
  <c r="AI56" i="1"/>
  <c r="AK56" i="1"/>
  <c r="AM56" i="1"/>
  <c r="AE57" i="1"/>
  <c r="AG57" i="1"/>
  <c r="AI57" i="1"/>
  <c r="AK57" i="1"/>
  <c r="AM57" i="1"/>
  <c r="AE58" i="1"/>
  <c r="AG58" i="1"/>
  <c r="AI58" i="1"/>
  <c r="AK58" i="1"/>
  <c r="AM58" i="1"/>
  <c r="AE59" i="1"/>
  <c r="AG59" i="1"/>
  <c r="AI59" i="1"/>
  <c r="AK59" i="1"/>
  <c r="AM59" i="1"/>
  <c r="AE60" i="1"/>
  <c r="AG60" i="1"/>
  <c r="AI60" i="1"/>
  <c r="AK60" i="1"/>
  <c r="AM60" i="1"/>
  <c r="AE61" i="1"/>
  <c r="AG61" i="1"/>
  <c r="AI61" i="1"/>
  <c r="AK61" i="1"/>
  <c r="AM61" i="1"/>
  <c r="AE62" i="1"/>
  <c r="AG62" i="1"/>
  <c r="AI62" i="1"/>
  <c r="AK62" i="1"/>
  <c r="AM62" i="1"/>
  <c r="AE63" i="1"/>
  <c r="AG63" i="1"/>
  <c r="AI63" i="1"/>
  <c r="AK63" i="1"/>
  <c r="AM63" i="1"/>
  <c r="AE64" i="1"/>
  <c r="AG64" i="1"/>
  <c r="AI64" i="1"/>
  <c r="AK64" i="1"/>
  <c r="AM64" i="1"/>
  <c r="AE65" i="1"/>
  <c r="AG65" i="1"/>
  <c r="AI65" i="1"/>
  <c r="AK65" i="1"/>
  <c r="AM65" i="1"/>
  <c r="AE66" i="1"/>
  <c r="AG66" i="1"/>
  <c r="AI66" i="1"/>
  <c r="AK66" i="1"/>
  <c r="AM66" i="1"/>
  <c r="AE67" i="1"/>
  <c r="AG67" i="1"/>
  <c r="AI67" i="1"/>
  <c r="AK67" i="1"/>
  <c r="AM67" i="1"/>
  <c r="AE68" i="1"/>
  <c r="AG68" i="1"/>
  <c r="AI68" i="1"/>
  <c r="AK68" i="1"/>
  <c r="AM68" i="1"/>
  <c r="AE69" i="1"/>
  <c r="AG69" i="1"/>
  <c r="AI69" i="1"/>
  <c r="AK69" i="1"/>
  <c r="AM69" i="1"/>
  <c r="AE70" i="1"/>
  <c r="AG70" i="1"/>
  <c r="AI70" i="1"/>
  <c r="AK70" i="1"/>
  <c r="AM70" i="1"/>
  <c r="AE71" i="1"/>
  <c r="AG71" i="1"/>
  <c r="AI71" i="1"/>
  <c r="AK71" i="1"/>
  <c r="AM71" i="1"/>
  <c r="AE72" i="1"/>
  <c r="AG72" i="1"/>
  <c r="AI72" i="1"/>
  <c r="AK72" i="1"/>
  <c r="AM72" i="1"/>
  <c r="AE73" i="1"/>
  <c r="AG73" i="1"/>
  <c r="AI73" i="1"/>
  <c r="AK73" i="1"/>
  <c r="AM73" i="1"/>
  <c r="AE74" i="1"/>
  <c r="AG74" i="1"/>
  <c r="AI74" i="1"/>
  <c r="AK74" i="1"/>
  <c r="AM74" i="1"/>
  <c r="AE75" i="1"/>
  <c r="AG75" i="1"/>
  <c r="AI75" i="1"/>
  <c r="AK75" i="1"/>
  <c r="AM75" i="1"/>
  <c r="AE76" i="1"/>
  <c r="AG76" i="1"/>
  <c r="AI76" i="1"/>
  <c r="AK76" i="1"/>
  <c r="AM76" i="1"/>
  <c r="AE77" i="1"/>
  <c r="AG77" i="1"/>
  <c r="AI77" i="1"/>
  <c r="AK77" i="1"/>
  <c r="AM77" i="1"/>
  <c r="AE78" i="1"/>
  <c r="AG78" i="1"/>
  <c r="AI78" i="1"/>
  <c r="AK78" i="1"/>
  <c r="AM78" i="1"/>
  <c r="AE79" i="1"/>
  <c r="AG79" i="1"/>
  <c r="AI79" i="1"/>
  <c r="AK79" i="1"/>
  <c r="AM79" i="1"/>
  <c r="AE80" i="1"/>
  <c r="AG80" i="1"/>
  <c r="AI80" i="1"/>
  <c r="AK80" i="1"/>
  <c r="AM80" i="1"/>
  <c r="AE81" i="1"/>
  <c r="AG81" i="1"/>
  <c r="AI81" i="1"/>
  <c r="AK81" i="1"/>
  <c r="AM81" i="1"/>
  <c r="AE82" i="1"/>
  <c r="AG82" i="1"/>
  <c r="AI82" i="1"/>
  <c r="AK82" i="1"/>
  <c r="AM82" i="1"/>
  <c r="AE88" i="1"/>
  <c r="AG88" i="1"/>
  <c r="AI88" i="1"/>
  <c r="AK88" i="1"/>
  <c r="AM88" i="1"/>
  <c r="AE89" i="1"/>
  <c r="AG89" i="1"/>
  <c r="AI89" i="1"/>
  <c r="AK89" i="1"/>
  <c r="AM89" i="1"/>
  <c r="AE90" i="1"/>
  <c r="AG90" i="1"/>
  <c r="AI90" i="1"/>
  <c r="AK90" i="1"/>
  <c r="AM90" i="1"/>
  <c r="AE91" i="1"/>
  <c r="AG91" i="1"/>
  <c r="AI91" i="1"/>
  <c r="AK91" i="1"/>
  <c r="AM91" i="1"/>
  <c r="AE92" i="1"/>
  <c r="AG92" i="1"/>
  <c r="AI92" i="1"/>
  <c r="AK92" i="1"/>
  <c r="AM92" i="1"/>
  <c r="AE94" i="1"/>
  <c r="AG94" i="1"/>
  <c r="AI94" i="1"/>
  <c r="AK94" i="1"/>
  <c r="AM94" i="1"/>
  <c r="AE95" i="1"/>
  <c r="AG95" i="1"/>
  <c r="AI95" i="1"/>
  <c r="AK95" i="1"/>
  <c r="AM95" i="1"/>
  <c r="AE96" i="1"/>
  <c r="AG96" i="1"/>
  <c r="AI96" i="1"/>
  <c r="AK96" i="1"/>
  <c r="AM96" i="1"/>
  <c r="AE97" i="1"/>
  <c r="AG97" i="1"/>
  <c r="AI97" i="1"/>
  <c r="AK97" i="1"/>
  <c r="AM97" i="1"/>
  <c r="AE99" i="1"/>
  <c r="AG99" i="1"/>
  <c r="AI99" i="1"/>
  <c r="AK99" i="1"/>
  <c r="AM99" i="1"/>
  <c r="AE100" i="1"/>
  <c r="AG100" i="1"/>
  <c r="AI100" i="1"/>
  <c r="AK100" i="1"/>
  <c r="AM100" i="1"/>
  <c r="AE101" i="1"/>
  <c r="AG101" i="1"/>
  <c r="AI101" i="1"/>
  <c r="AK101" i="1"/>
  <c r="AM101" i="1"/>
  <c r="AE102" i="1"/>
  <c r="AG102" i="1"/>
  <c r="AI102" i="1"/>
  <c r="AK102" i="1"/>
  <c r="AM102" i="1"/>
  <c r="AE103" i="1"/>
  <c r="AG103" i="1"/>
  <c r="AI103" i="1"/>
  <c r="AK103" i="1"/>
  <c r="AM103" i="1"/>
  <c r="AE104" i="1"/>
  <c r="AG104" i="1"/>
  <c r="AI104" i="1"/>
  <c r="AK104" i="1"/>
  <c r="AM104" i="1"/>
  <c r="AE105" i="1"/>
  <c r="AG105" i="1"/>
  <c r="AI105" i="1"/>
  <c r="AK105" i="1"/>
  <c r="AM105" i="1"/>
  <c r="AE106" i="1"/>
  <c r="AG106" i="1"/>
  <c r="AI106" i="1"/>
  <c r="AK106" i="1"/>
  <c r="AM106" i="1"/>
  <c r="AE107" i="1"/>
  <c r="AG107" i="1"/>
  <c r="AI107" i="1"/>
  <c r="AK107" i="1"/>
  <c r="AM107" i="1"/>
  <c r="AE108" i="1"/>
  <c r="AG108" i="1"/>
  <c r="AI108" i="1"/>
  <c r="AK108" i="1"/>
  <c r="AM108" i="1"/>
  <c r="AE109" i="1"/>
  <c r="AG109" i="1"/>
  <c r="AI109" i="1"/>
  <c r="AK109" i="1"/>
  <c r="AM109" i="1"/>
  <c r="AE110" i="1"/>
  <c r="AG110" i="1"/>
  <c r="AI110" i="1"/>
  <c r="AK110" i="1"/>
  <c r="AM110" i="1"/>
  <c r="AE111" i="1"/>
  <c r="AG111" i="1"/>
  <c r="AI111" i="1"/>
  <c r="AK111" i="1"/>
  <c r="AM111" i="1"/>
  <c r="AM2" i="1"/>
  <c r="AK2" i="1"/>
  <c r="AI2" i="1"/>
  <c r="AG2" i="1"/>
  <c r="AE2" i="1"/>
</calcChain>
</file>

<file path=xl/sharedStrings.xml><?xml version="1.0" encoding="utf-8"?>
<sst xmlns="http://schemas.openxmlformats.org/spreadsheetml/2006/main" count="2390" uniqueCount="335">
  <si>
    <t>ID</t>
  </si>
  <si>
    <t>NAVN</t>
  </si>
  <si>
    <t>MATRIKELNR</t>
  </si>
  <si>
    <t>TYPE</t>
  </si>
  <si>
    <t>ADRESSE</t>
  </si>
  <si>
    <t>POSTNR</t>
  </si>
  <si>
    <t>BYNAVN</t>
  </si>
  <si>
    <t>TELEFONNR</t>
  </si>
  <si>
    <t>AKTIV</t>
  </si>
  <si>
    <t>AffaldsCenter</t>
  </si>
  <si>
    <t>(E-mail: vejerbod@mtm.aarhus.dk)</t>
  </si>
  <si>
    <t>MIDLERTIDIG OPLAG</t>
  </si>
  <si>
    <t>Ølstedvej 20 - 36</t>
  </si>
  <si>
    <t>Aarhus N</t>
  </si>
  <si>
    <t>Ja</t>
  </si>
  <si>
    <t>RGS 90 A/S</t>
  </si>
  <si>
    <t>E-mail: rgs90glatved@dsvm.dk</t>
  </si>
  <si>
    <t>JORDRENSNING</t>
  </si>
  <si>
    <t>Nymandsvej 11</t>
  </si>
  <si>
    <t>Balle</t>
  </si>
  <si>
    <t>E-mail: rgs90kolding@dsvm.dk</t>
  </si>
  <si>
    <t>Profilvej 22</t>
  </si>
  <si>
    <t>Kolding</t>
  </si>
  <si>
    <t>Vardevej 83A</t>
  </si>
  <si>
    <t>Tarm</t>
  </si>
  <si>
    <t>Soilrem A/S</t>
  </si>
  <si>
    <t>Mådevej 87</t>
  </si>
  <si>
    <t>Esbjerg Ø</t>
  </si>
  <si>
    <t>Nej</t>
  </si>
  <si>
    <t>Halsvej 70</t>
  </si>
  <si>
    <t>Vodskov</t>
  </si>
  <si>
    <t>Aarhus Østhavn - TIPPEN LUKKER 19/10-2012</t>
  </si>
  <si>
    <t>-</t>
  </si>
  <si>
    <t>JORDTIP</t>
  </si>
  <si>
    <t>Østhavnsvej</t>
  </si>
  <si>
    <t>Aarhus C</t>
  </si>
  <si>
    <t>Hasle Bakkelandskab</t>
  </si>
  <si>
    <t>Edwin Rahrs Vej</t>
  </si>
  <si>
    <t>Aarhus V</t>
  </si>
  <si>
    <t>Reno Djurs I/S</t>
  </si>
  <si>
    <t>LOSSEPLADS</t>
  </si>
  <si>
    <t>A/S MP-4S jordrens</t>
  </si>
  <si>
    <t>Kåstrupvej 20</t>
  </si>
  <si>
    <t>Spøttrup</t>
  </si>
  <si>
    <t>Konstantinsborg</t>
  </si>
  <si>
    <t>Storskovvej 20</t>
  </si>
  <si>
    <t>Viby J</t>
  </si>
  <si>
    <t>Brd. Madsens Jordtip</t>
  </si>
  <si>
    <t>18 bb og 18 v Lisbjerg, Århus Jorder</t>
  </si>
  <si>
    <t>Larsmindevej 15</t>
  </si>
  <si>
    <t>Markarealer</t>
  </si>
  <si>
    <t>RENJORDSTIP</t>
  </si>
  <si>
    <t>Mark</t>
  </si>
  <si>
    <t>Eskelund</t>
  </si>
  <si>
    <t>Eskelundvej</t>
  </si>
  <si>
    <t>NCC Roads A/S, Vejservice</t>
  </si>
  <si>
    <t>GENANVENDELSE</t>
  </si>
  <si>
    <t>Metalvej 1</t>
  </si>
  <si>
    <t>Hestebjerrefaldet</t>
  </si>
  <si>
    <t>Randersvej 229-231</t>
  </si>
  <si>
    <t>Kalbygård Grusgrav</t>
  </si>
  <si>
    <t>(email info@jj-grus.dk)</t>
  </si>
  <si>
    <t>Hovedvejen 24</t>
  </si>
  <si>
    <t>Låsby</t>
  </si>
  <si>
    <t>Svæveflyvebanen True</t>
  </si>
  <si>
    <t>Bavnehøjvej 11</t>
  </si>
  <si>
    <t>Tilst</t>
  </si>
  <si>
    <t>Motervejskonsortiet (Aarsleff-Arkil)</t>
  </si>
  <si>
    <t>Læggaardsvej</t>
  </si>
  <si>
    <t>Lystrup</t>
  </si>
  <si>
    <t>Johs. Sørensen &amp; Sønner A/S</t>
  </si>
  <si>
    <t>12ck Brabrand By, Brabrand</t>
  </si>
  <si>
    <t>Holmstrupgårdsvej 9</t>
  </si>
  <si>
    <t>Green Soil A/S</t>
  </si>
  <si>
    <t>Foldingbrovej 46 A</t>
  </si>
  <si>
    <t>Brørup</t>
  </si>
  <si>
    <t>Sønderhøj</t>
  </si>
  <si>
    <t>4 fv, Viby By, Viby</t>
  </si>
  <si>
    <t>Sønderhøj 18</t>
  </si>
  <si>
    <t>LMK Vej A/S</t>
  </si>
  <si>
    <t>Er sagen stadig aktiv ?</t>
  </si>
  <si>
    <t>Mørupvej 2</t>
  </si>
  <si>
    <t>Vandel</t>
  </si>
  <si>
    <t>Sønder Kastrup Grusgrav</t>
  </si>
  <si>
    <t>5 o, Kastrup By, Hvilsager. (Ingen dispensation)</t>
  </si>
  <si>
    <t>Stovbakken 17</t>
  </si>
  <si>
    <t>Mørke</t>
  </si>
  <si>
    <t>Haldum Jordtip</t>
  </si>
  <si>
    <t>Århusvej</t>
  </si>
  <si>
    <t>Hinnerup</t>
  </si>
  <si>
    <t>Meldgaard Miljø A/S</t>
  </si>
  <si>
    <t>Askelund 10</t>
  </si>
  <si>
    <t>Aabenraa</t>
  </si>
  <si>
    <t>Henrik Madsen</t>
  </si>
  <si>
    <t>11 d Edslev By, Kolt</t>
  </si>
  <si>
    <t>Gungdyvej 29</t>
  </si>
  <si>
    <t>Hørning</t>
  </si>
  <si>
    <t>Mogens Wacherhausen</t>
  </si>
  <si>
    <t>8d True By, Brabrand</t>
  </si>
  <si>
    <t>True Byvej 13</t>
  </si>
  <si>
    <t>Mellemdeponi, Aarhus Østhavn</t>
  </si>
  <si>
    <t>2209, Århus Bygrunde</t>
  </si>
  <si>
    <t>Østhavnsvej 33 -45</t>
  </si>
  <si>
    <t>Tebbestrup Jordtip</t>
  </si>
  <si>
    <t>Kræves dispensation ?</t>
  </si>
  <si>
    <t>Tebbestrupvej 178</t>
  </si>
  <si>
    <t>Randers C</t>
  </si>
  <si>
    <t>Ry Grusgrav*</t>
  </si>
  <si>
    <t>6a Siim By, Dover (Dispensation kræves)</t>
  </si>
  <si>
    <t>Bakkelyvej 2</t>
  </si>
  <si>
    <t>Ry</t>
  </si>
  <si>
    <t>Aarhus Oliehavn - ren jord</t>
  </si>
  <si>
    <t>Oliehavnsvej</t>
  </si>
  <si>
    <t>Hjortshøjvej 100, Knud Nygaard</t>
  </si>
  <si>
    <t>14b Skæring By, Egå</t>
  </si>
  <si>
    <t>Hjortshøjvej 100</t>
  </si>
  <si>
    <t>Hjortshøj</t>
  </si>
  <si>
    <t>Ukendt</t>
  </si>
  <si>
    <t>Hasselager Station</t>
  </si>
  <si>
    <t>undersøg om sagen er afsluttet</t>
  </si>
  <si>
    <t>Banegårdspladsen 950</t>
  </si>
  <si>
    <t>Hasselager</t>
  </si>
  <si>
    <t>Kombiterminal v/Søren Frichs Vej</t>
  </si>
  <si>
    <t>Sonnesgade 21/Skovgårdsgade 3</t>
  </si>
  <si>
    <t>Markareal</t>
  </si>
  <si>
    <t>Kølsmosevej 9</t>
  </si>
  <si>
    <t>Brd. Madsen og Junior Grusgrav</t>
  </si>
  <si>
    <t>Grenåvej 665</t>
  </si>
  <si>
    <t>Skødstrup</t>
  </si>
  <si>
    <t>Kystsikring, pier 4</t>
  </si>
  <si>
    <t>Aarsleff A/S, Torben Pedersen</t>
  </si>
  <si>
    <t>Sverigesgade</t>
  </si>
  <si>
    <t>Brdr. Madsen</t>
  </si>
  <si>
    <t>Løgtenvej 71</t>
  </si>
  <si>
    <t>Hornslet</t>
  </si>
  <si>
    <t>Komtek Miljø A/S</t>
  </si>
  <si>
    <t>Drivervej 8</t>
  </si>
  <si>
    <t>Holsted</t>
  </si>
  <si>
    <t>BG Stones</t>
  </si>
  <si>
    <t>Gudenåvej 17</t>
  </si>
  <si>
    <t>Ans By</t>
  </si>
  <si>
    <t>Kærgård renjordstip</t>
  </si>
  <si>
    <t>1a og 3a Kærgård, Elsted (lukket 1.okt 2010)</t>
  </si>
  <si>
    <t>Kjærgårdsvej 1-5</t>
  </si>
  <si>
    <t>Johs. Sørensen &amp; sønner A/S</t>
  </si>
  <si>
    <t>38 Edslev By, Kolt</t>
  </si>
  <si>
    <t>Åbovej 16 (Tidl. Torsøvej 242)</t>
  </si>
  <si>
    <t>Jordvold ved Århus Vej</t>
  </si>
  <si>
    <t>Er sagen afsluttet ?</t>
  </si>
  <si>
    <t>Århusvej 55</t>
  </si>
  <si>
    <t>Z-huset</t>
  </si>
  <si>
    <t>2148a og 2148di, Århus Bygrunde</t>
  </si>
  <si>
    <t>Sverigsgade 38</t>
  </si>
  <si>
    <t>Egå Renseanlæg</t>
  </si>
  <si>
    <t>2an Vejlby By, Ellevang</t>
  </si>
  <si>
    <t>Mosevej 57</t>
  </si>
  <si>
    <t>Risskov</t>
  </si>
  <si>
    <t>Gert Svith</t>
  </si>
  <si>
    <t>Nyballevej 6</t>
  </si>
  <si>
    <t>Rugårdsvej 18</t>
  </si>
  <si>
    <t>P. Olesen &amp; Sønner - kun ren jord</t>
  </si>
  <si>
    <t>Birkegårdsvej 38</t>
  </si>
  <si>
    <t>RGS90 Hjøllund Genbrugsplads</t>
  </si>
  <si>
    <t>Matr. nr. 2c St. Hjøllund By, Vads</t>
  </si>
  <si>
    <t>Faurholtvej 3-5</t>
  </si>
  <si>
    <t>Hampen</t>
  </si>
  <si>
    <t>Jordtip ved Erbækvej</t>
  </si>
  <si>
    <t>2f, Trige By, Trige</t>
  </si>
  <si>
    <t>Pannerupvej 15</t>
  </si>
  <si>
    <t>Trige</t>
  </si>
  <si>
    <t>Affaldscenter Skårup (RenoSyd)</t>
  </si>
  <si>
    <t>Oddervej 75</t>
  </si>
  <si>
    <t>Skanderborg</t>
  </si>
  <si>
    <t>Kommunekemi A/S</t>
  </si>
  <si>
    <t>Lindholmvej 3</t>
  </si>
  <si>
    <t>Nyborg</t>
  </si>
  <si>
    <t>Boligforeningen Vesterbo</t>
  </si>
  <si>
    <t>Reginehøjvej 1 - 11</t>
  </si>
  <si>
    <t>Vejdirektoratet, Henrik Broen</t>
  </si>
  <si>
    <t>Gjort inaktiv da projektet forventes afsluttet</t>
  </si>
  <si>
    <t>E45, afkørsel Århus Nord</t>
  </si>
  <si>
    <t>NCC, Vestbirk Grusgrav</t>
  </si>
  <si>
    <t>Ryvej 47</t>
  </si>
  <si>
    <t>Østbirk</t>
  </si>
  <si>
    <t>Katholm Grusgrav</t>
  </si>
  <si>
    <t>11a og 11e Glatved By, Hoed (dispensation kræves)</t>
  </si>
  <si>
    <t>Nymandsvej 16h</t>
  </si>
  <si>
    <t>JJ Grus A/S (Kalbygård Grusgrav)</t>
  </si>
  <si>
    <t>Hovedvejen 24A</t>
  </si>
  <si>
    <t>Knud Værnhøj Jakobsen</t>
  </si>
  <si>
    <t>2a, Vormstrup By, Malling. Er sagen afsluttet?</t>
  </si>
  <si>
    <t>Østergårdsvej 111</t>
  </si>
  <si>
    <t>Malling</t>
  </si>
  <si>
    <t>Birkesig Sten og Grus</t>
  </si>
  <si>
    <t>18 Balle By, Rosmus</t>
  </si>
  <si>
    <t>Ebeltoft</t>
  </si>
  <si>
    <t>Lemminkäinen A/S</t>
  </si>
  <si>
    <t>Kulholmsvej 20</t>
  </si>
  <si>
    <t>Kent Jeppesen. lermembran til sø</t>
  </si>
  <si>
    <t>Undersøg om sagen er afsluttet</t>
  </si>
  <si>
    <t>Lermembran i regnvandsbassin</t>
  </si>
  <si>
    <t>4b og 5lø, begge Kolt By, Kolt</t>
  </si>
  <si>
    <t>Torshøjvej (overfor nr. 35)</t>
  </si>
  <si>
    <t>Andreas Børgesen</t>
  </si>
  <si>
    <t>10o Mesing By, Mesing</t>
  </si>
  <si>
    <t>Forlev Møllevej 49</t>
  </si>
  <si>
    <t>Stjær Grusgrav* v. Harald Røgen og Sønner</t>
  </si>
  <si>
    <t>13s, 8a, 5a Stjær By, Stjær (dispensation kræves)</t>
  </si>
  <si>
    <t>Jeksenvej</t>
  </si>
  <si>
    <t>Galten</t>
  </si>
  <si>
    <t>Stjær Grusgrav* v. Ry Grusgrav</t>
  </si>
  <si>
    <t>2g Stjær By, Stjær (dispensation kræves)</t>
  </si>
  <si>
    <t>Thorkild Pedersen</t>
  </si>
  <si>
    <t>Tisetvej 29</t>
  </si>
  <si>
    <t>Solbjerg</t>
  </si>
  <si>
    <t>Vejprojekt</t>
  </si>
  <si>
    <t>Hårvej 2</t>
  </si>
  <si>
    <t>Støjvold</t>
  </si>
  <si>
    <t>Niels Sørensen</t>
  </si>
  <si>
    <t>Horndrupvej 4</t>
  </si>
  <si>
    <t>Hørgårdsvej</t>
  </si>
  <si>
    <t>34 ac Vejlby By, Risskov, er sagen afsluttet?</t>
  </si>
  <si>
    <t>Arkil Asfalt A/S</t>
  </si>
  <si>
    <t>Birkemosevej 5A</t>
  </si>
  <si>
    <t>Peter Kaae Christensen</t>
  </si>
  <si>
    <t>Mølballe 12</t>
  </si>
  <si>
    <t>V. Regnvandsbassin</t>
  </si>
  <si>
    <t>2187a Århus Bygrunde</t>
  </si>
  <si>
    <t>Carl Blochs Gade 26</t>
  </si>
  <si>
    <t>Byggeprojekt (NNC)</t>
  </si>
  <si>
    <t>117u Aarhus Markjorder</t>
  </si>
  <si>
    <t>Langelandsgade 155</t>
  </si>
  <si>
    <t>9t Skejby, Aarhus Jorder</t>
  </si>
  <si>
    <t>Hedeager 5</t>
  </si>
  <si>
    <t>Nymølle Stenindustrier A/S</t>
  </si>
  <si>
    <t>8i Edslev By, Kolt</t>
  </si>
  <si>
    <t>Rismosevej 30(landzonetilladelse udløbet)</t>
  </si>
  <si>
    <t>Niels Christian Lund Nielsen</t>
  </si>
  <si>
    <t>1d Grøttrup By, Todbjerg</t>
  </si>
  <si>
    <t>Gammelvej 4</t>
  </si>
  <si>
    <t>Sønder Kastrup Grusgrav(VAM)</t>
  </si>
  <si>
    <t>5 o, Kastrup By, Hvilsager.(Disp. kræves ikke)</t>
  </si>
  <si>
    <t>Kingo Karlsen</t>
  </si>
  <si>
    <t>12is og 14c Gødvad By, Gødvad</t>
  </si>
  <si>
    <t>Fl Schmidt Vej 17</t>
  </si>
  <si>
    <t>Silkeborg</t>
  </si>
  <si>
    <t>Skive Renovation 4-S</t>
  </si>
  <si>
    <t>4-S@4-S.dk</t>
  </si>
  <si>
    <t>Kåstrupvej 20-22</t>
  </si>
  <si>
    <t>Randers Havn</t>
  </si>
  <si>
    <t>Kulholmsvej 1</t>
  </si>
  <si>
    <t>Randers NØ</t>
  </si>
  <si>
    <t>Jørgen Andersen Aps</t>
  </si>
  <si>
    <t>3c Benstrup By, Todbjerg</t>
  </si>
  <si>
    <t>Grimsbrovej 25</t>
  </si>
  <si>
    <t>Navitas byggefelt - opfyldning i havnebassin</t>
  </si>
  <si>
    <t>Nordhavnsgade</t>
  </si>
  <si>
    <t>Opfyld af svømmebassin</t>
  </si>
  <si>
    <t>12ei Brabrand By, Brabrand</t>
  </si>
  <si>
    <t>Lykkenshøj 25</t>
  </si>
  <si>
    <t>Brabrand</t>
  </si>
  <si>
    <t>Jordrens Syd ApS</t>
  </si>
  <si>
    <t>jrs@jordrenssyd.dk</t>
  </si>
  <si>
    <t>Flensborg Landevej 1, Søgaard</t>
  </si>
  <si>
    <t>Nomi Vækst</t>
  </si>
  <si>
    <t>Kilenvej 18</t>
  </si>
  <si>
    <t>Struer</t>
  </si>
  <si>
    <t>Nørrerisvej Renjordstip</t>
  </si>
  <si>
    <t>Asger Rye Andersen</t>
  </si>
  <si>
    <t>Nørrerisvej 7</t>
  </si>
  <si>
    <t>Danjord internt oplag</t>
  </si>
  <si>
    <t>Norddigevej 8</t>
  </si>
  <si>
    <t>Eskelundvej/Åhavevejprojektet</t>
  </si>
  <si>
    <t>15l Viby By, Viby</t>
  </si>
  <si>
    <t>Eskelundvej 3</t>
  </si>
  <si>
    <t>Miljøhavnsbassinet (bassin 13)</t>
  </si>
  <si>
    <t>Entreprenør Eberhardt og Jørgensen (751-20417-02)</t>
  </si>
  <si>
    <t>7be Trige By, Trige</t>
  </si>
  <si>
    <t>Pannerupvej 20, Elev (aktiv mindre jordtip)</t>
  </si>
  <si>
    <t>Mejlbyvej 606, Lars Gravco</t>
  </si>
  <si>
    <t>5f Benstrup By, Todbjerg</t>
  </si>
  <si>
    <t>Mejlbyvej 606</t>
  </si>
  <si>
    <t>Herredsvej - REN GENINDBYGNINGSEGNET JORD</t>
  </si>
  <si>
    <t>7a Brendstrup By, Tilst</t>
  </si>
  <si>
    <t>Herredsvej</t>
  </si>
  <si>
    <t>Herredsvej LET FORURENET GENINDBYGNINGSEGNET JORD</t>
  </si>
  <si>
    <t>2e Brendstrup By, Tilst mv</t>
  </si>
  <si>
    <t>Bestseller, rampe til byggegrube</t>
  </si>
  <si>
    <t>2148dz Århus Bygrunde</t>
  </si>
  <si>
    <t>Inge Lehmanns Gade 950</t>
  </si>
  <si>
    <t>Entreprenør Eberhardt og Jørgensen (751-21042-00)</t>
  </si>
  <si>
    <t>31a trige By, Trige</t>
  </si>
  <si>
    <t>Erbækvej 1 (aktiv mindre jordtip)</t>
  </si>
  <si>
    <t>Horsens Havn, let forurenet jord</t>
  </si>
  <si>
    <t>1135a Horsens Bygrunde</t>
  </si>
  <si>
    <t>Ove Jensens Alle 35</t>
  </si>
  <si>
    <t>Horsens</t>
  </si>
  <si>
    <t>Adgangsvej til Ø2 og Ø3 via kanal</t>
  </si>
  <si>
    <t>Pier 4, Aarhus Havn</t>
  </si>
  <si>
    <t>Randers Affaldsterminal</t>
  </si>
  <si>
    <t>Kontakt Mik Rasmussen</t>
  </si>
  <si>
    <t>Romalt Boulevard 64</t>
  </si>
  <si>
    <t>Randers SØ</t>
  </si>
  <si>
    <t>Aarhus Oliehavn, let forurenet jord - opstart 1/2</t>
  </si>
  <si>
    <t>Rud Kirkevej, slagge-og flyveaskedepot</t>
  </si>
  <si>
    <t>1b Robdrup By, Ølst og 7d Trustrup By, Ølst</t>
  </si>
  <si>
    <t>Rud Kirkevej 44</t>
  </si>
  <si>
    <t>Arkil A/S</t>
  </si>
  <si>
    <t>4a Seest By, Seest</t>
  </si>
  <si>
    <t>Vrandervej 48</t>
  </si>
  <si>
    <t>Aarhus Træskibshavn, Fiskerivej 24-28</t>
  </si>
  <si>
    <t>Havnebassin ud for matr. nr. 2148a</t>
  </si>
  <si>
    <t>Fiskerivej</t>
  </si>
  <si>
    <t>Randerskilen - syd</t>
  </si>
  <si>
    <t>6af og sydlig del af 6d Lisbjerg, Århus Jorder</t>
  </si>
  <si>
    <t>Randersvej 307, langs vestlig side af Randersvej</t>
  </si>
  <si>
    <t>Randerskilen - nord</t>
  </si>
  <si>
    <t>nordlig del af 6d Lisbjerg, Århus Jorder</t>
  </si>
  <si>
    <t>Randersvej 307</t>
  </si>
  <si>
    <t>Sandholt Lyndelse Miljøcenter</t>
  </si>
  <si>
    <t>Landevejen 5</t>
  </si>
  <si>
    <t>Broby</t>
  </si>
  <si>
    <t>insert into jordmodtager (navn,adresse,postnummer,postdistrikt,telefon,aktiv) values ('</t>
  </si>
  <si>
    <t>',''</t>
  </si>
  <si>
    <t>',</t>
  </si>
  <si>
    <t>,'</t>
  </si>
  <si>
    <t>,</t>
  </si>
  <si>
    <t>);</t>
  </si>
  <si>
    <t>(select top 1 id from jordmodtager where navn='</t>
  </si>
  <si>
    <t>','</t>
  </si>
  <si>
    <t>'),(select id from jordanlaegtype where navn = '</t>
  </si>
  <si>
    <t>'),'</t>
  </si>
  <si>
    <t>',50,20,10,</t>
  </si>
  <si>
    <t>Insert into  modtageranlaeg (Jordmodtagerid,jordanlaegtypeid,navn,adresse,postnummer,postdistrikt, matrikelnr,stikproevefrekvens,antalbaase,AdvislabBaas,aktiv,affald,,AnvenderJF) values (</t>
  </si>
  <si>
    <t>,1,1);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</si>
</sst>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u/>
      <sz val="10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5F5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3" fillId="2" borderId="1" xfId="1" applyFill="1" applyBorder="1" applyAlignment="1" applyProtection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0" borderId="0" xfId="0" quotePrefix="1"/>
    <xf numFmtId="0" fontId="3" fillId="2" borderId="0" xfId="1" applyFill="1" applyBorder="1" applyAlignment="1" applyProtection="1">
      <alignment horizontal="left" wrapText="1"/>
    </xf>
    <xf numFmtId="0" fontId="2" fillId="3" borderId="0" xfId="0" applyFont="1" applyFill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2" fillId="3" borderId="0" xfId="0" quotePrefix="1" applyFont="1" applyFill="1" applyBorder="1" applyAlignment="1">
      <alignment horizontal="left" wrapText="1"/>
    </xf>
  </cellXfs>
  <cellStyles count="2"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dgrStamdataModtager$_ctl1$_ctl7','')" TargetMode="External"/><Relationship Id="rId3" Type="http://schemas.openxmlformats.org/officeDocument/2006/relationships/hyperlink" Target="javascript:__doPostBack('dgrStamdataModtager$_ctl1$_ctl2','')" TargetMode="External"/><Relationship Id="rId7" Type="http://schemas.openxmlformats.org/officeDocument/2006/relationships/hyperlink" Target="javascript:__doPostBack('dgrStamdataModtager$_ctl1$_ctl6','')" TargetMode="External"/><Relationship Id="rId2" Type="http://schemas.openxmlformats.org/officeDocument/2006/relationships/hyperlink" Target="javascript:__doPostBack('dgrStamdataModtager$_ctl1$_ctl1','')" TargetMode="External"/><Relationship Id="rId1" Type="http://schemas.openxmlformats.org/officeDocument/2006/relationships/hyperlink" Target="javascript:__doPostBack('dgrStamdataModtager$_ctl1$_ctl0','')" TargetMode="External"/><Relationship Id="rId6" Type="http://schemas.openxmlformats.org/officeDocument/2006/relationships/hyperlink" Target="javascript:__doPostBack('dgrStamdataModtager$_ctl1$_ctl5','')" TargetMode="External"/><Relationship Id="rId5" Type="http://schemas.openxmlformats.org/officeDocument/2006/relationships/hyperlink" Target="javascript:__doPostBack('dgrStamdataModtager$_ctl1$_ctl4','')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javascript:__doPostBack('dgrStamdataModtager$_ctl1$_ctl3','')" TargetMode="External"/><Relationship Id="rId9" Type="http://schemas.openxmlformats.org/officeDocument/2006/relationships/hyperlink" Target="javascript:__doPostBack('dgrStamdataModtager$_ctl1$_ctl8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1"/>
  <sheetViews>
    <sheetView tabSelected="1" topLeftCell="G109" zoomScale="85" zoomScaleNormal="85" workbookViewId="0">
      <selection activeCell="J2" sqref="J2:AA111"/>
    </sheetView>
  </sheetViews>
  <sheetFormatPr defaultRowHeight="12.6" x14ac:dyDescent="0.2"/>
  <cols>
    <col min="2" max="2" width="12.90625" customWidth="1"/>
    <col min="3" max="3" width="18.90625" customWidth="1"/>
    <col min="4" max="4" width="16.26953125" bestFit="1" customWidth="1"/>
    <col min="5" max="5" width="12.90625" customWidth="1"/>
    <col min="6" max="6" width="7.453125" bestFit="1" customWidth="1"/>
    <col min="7" max="7" width="8.7265625" bestFit="1" customWidth="1"/>
    <col min="8" max="8" width="8.26953125" bestFit="1" customWidth="1"/>
    <col min="9" max="9" width="5.90625" bestFit="1" customWidth="1"/>
    <col min="10" max="10" width="16.08984375" customWidth="1"/>
    <col min="11" max="14" width="5.90625" customWidth="1"/>
    <col min="15" max="15" width="2.1796875" bestFit="1" customWidth="1"/>
    <col min="16" max="16" width="5.90625" customWidth="1"/>
    <col min="17" max="17" width="1.7265625" bestFit="1" customWidth="1"/>
    <col min="18" max="18" width="5.90625" customWidth="1"/>
    <col min="19" max="19" width="1.08984375" bestFit="1" customWidth="1"/>
    <col min="20" max="20" width="3.54296875" bestFit="1" customWidth="1"/>
    <col min="21" max="21" width="2.36328125" customWidth="1"/>
    <col min="22" max="22" width="2.1796875" customWidth="1"/>
    <col min="23" max="25" width="2.26953125" customWidth="1"/>
    <col min="26" max="26" width="1.08984375" customWidth="1"/>
    <col min="27" max="27" width="5.90625" customWidth="1"/>
    <col min="28" max="28" width="10.81640625" customWidth="1"/>
    <col min="30" max="30" width="71.26953125" customWidth="1"/>
    <col min="31" max="31" width="16.36328125" bestFit="1" customWidth="1"/>
    <col min="32" max="32" width="2.7265625" bestFit="1" customWidth="1"/>
    <col min="34" max="34" width="1.90625" bestFit="1" customWidth="1"/>
    <col min="35" max="35" width="4.81640625" bestFit="1" customWidth="1"/>
    <col min="36" max="36" width="1.90625" bestFit="1" customWidth="1"/>
    <col min="38" max="38" width="1.90625" bestFit="1" customWidth="1"/>
    <col min="39" max="39" width="8.81640625" bestFit="1" customWidth="1"/>
    <col min="40" max="40" width="1.453125" bestFit="1" customWidth="1"/>
    <col min="41" max="41" width="3.81640625" bestFit="1" customWidth="1"/>
  </cols>
  <sheetData>
    <row r="1" spans="1:42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42" ht="91.8" x14ac:dyDescent="0.2">
      <c r="A2" s="3">
        <v>63</v>
      </c>
      <c r="B2" s="3" t="s">
        <v>41</v>
      </c>
      <c r="C2" s="3"/>
      <c r="D2" s="3" t="s">
        <v>17</v>
      </c>
      <c r="E2" s="3" t="s">
        <v>42</v>
      </c>
      <c r="F2" s="3">
        <v>7860</v>
      </c>
      <c r="G2" s="3" t="s">
        <v>43</v>
      </c>
      <c r="H2" s="3">
        <v>63909909</v>
      </c>
      <c r="I2" s="3" t="s">
        <v>14</v>
      </c>
      <c r="J2" s="6" t="s">
        <v>333</v>
      </c>
      <c r="K2" s="6" t="s">
        <v>328</v>
      </c>
      <c r="L2" s="6" t="str">
        <f>B2</f>
        <v>A/S MP-4S jordrens</v>
      </c>
      <c r="M2" s="8" t="s">
        <v>330</v>
      </c>
      <c r="N2" s="6" t="str">
        <f>D2</f>
        <v>JORDRENSNING</v>
      </c>
      <c r="O2" s="8" t="s">
        <v>331</v>
      </c>
      <c r="P2" s="6" t="str">
        <f>B2</f>
        <v>A/S MP-4S jordrens</v>
      </c>
      <c r="Q2" s="8" t="s">
        <v>329</v>
      </c>
      <c r="R2" s="6" t="str">
        <f>E2</f>
        <v>Kåstrupvej 20</v>
      </c>
      <c r="S2" s="8" t="s">
        <v>324</v>
      </c>
      <c r="T2" s="8">
        <f>F2</f>
        <v>7860</v>
      </c>
      <c r="U2" s="8" t="s">
        <v>325</v>
      </c>
      <c r="V2" s="8" t="str">
        <f>G2</f>
        <v>Spøttrup</v>
      </c>
      <c r="W2" s="8" t="s">
        <v>329</v>
      </c>
      <c r="X2" s="8">
        <f>C2</f>
        <v>0</v>
      </c>
      <c r="Y2" s="8" t="s">
        <v>332</v>
      </c>
      <c r="Z2" s="8" t="str">
        <f>I2</f>
        <v>Ja</v>
      </c>
      <c r="AA2" s="6" t="s">
        <v>334</v>
      </c>
      <c r="AB2" s="6"/>
      <c r="AD2" t="s">
        <v>322</v>
      </c>
      <c r="AE2" t="str">
        <f t="shared" ref="AE2:AE11" si="0">B2</f>
        <v>A/S MP-4S jordrens</v>
      </c>
      <c r="AF2" s="4" t="s">
        <v>323</v>
      </c>
      <c r="AG2" t="str">
        <f t="shared" ref="AG2:AG11" si="1">E2</f>
        <v>Kåstrupvej 20</v>
      </c>
      <c r="AH2" s="4" t="s">
        <v>324</v>
      </c>
      <c r="AI2">
        <f t="shared" ref="AI2:AI11" si="2">F2</f>
        <v>7860</v>
      </c>
      <c r="AJ2" t="s">
        <v>325</v>
      </c>
      <c r="AK2" t="str">
        <f t="shared" ref="AK2:AK11" si="3">G2</f>
        <v>Spøttrup</v>
      </c>
      <c r="AL2" s="4" t="s">
        <v>324</v>
      </c>
      <c r="AM2">
        <f t="shared" ref="AM2:AM11" si="4">H2</f>
        <v>63909909</v>
      </c>
      <c r="AN2" t="s">
        <v>326</v>
      </c>
      <c r="AO2">
        <v>1</v>
      </c>
      <c r="AP2" t="s">
        <v>327</v>
      </c>
    </row>
    <row r="3" spans="1:42" ht="91.8" x14ac:dyDescent="0.2">
      <c r="A3" s="3">
        <v>1498</v>
      </c>
      <c r="B3" s="3" t="s">
        <v>297</v>
      </c>
      <c r="C3" s="3"/>
      <c r="D3" s="3" t="s">
        <v>11</v>
      </c>
      <c r="E3" s="3" t="s">
        <v>298</v>
      </c>
      <c r="F3" s="3">
        <v>8000</v>
      </c>
      <c r="G3" s="3" t="s">
        <v>35</v>
      </c>
      <c r="H3" s="3">
        <v>87412350</v>
      </c>
      <c r="I3" s="3" t="s">
        <v>14</v>
      </c>
      <c r="J3" s="6" t="s">
        <v>333</v>
      </c>
      <c r="K3" s="6" t="s">
        <v>328</v>
      </c>
      <c r="L3" s="6" t="str">
        <f t="shared" ref="L3:L66" si="5">B3</f>
        <v>Adgangsvej til Ø2 og Ø3 via kanal</v>
      </c>
      <c r="M3" s="8" t="s">
        <v>330</v>
      </c>
      <c r="N3" s="6" t="str">
        <f t="shared" ref="N3:N66" si="6">D3</f>
        <v>MIDLERTIDIG OPLAG</v>
      </c>
      <c r="O3" s="8" t="s">
        <v>331</v>
      </c>
      <c r="P3" s="6" t="str">
        <f t="shared" ref="P3:P66" si="7">B3</f>
        <v>Adgangsvej til Ø2 og Ø3 via kanal</v>
      </c>
      <c r="Q3" s="8" t="s">
        <v>329</v>
      </c>
      <c r="R3" s="6" t="str">
        <f t="shared" ref="R3:R66" si="8">E3</f>
        <v>Pier 4, Aarhus Havn</v>
      </c>
      <c r="S3" s="8" t="s">
        <v>324</v>
      </c>
      <c r="T3" s="8">
        <f t="shared" ref="T3:T66" si="9">F3</f>
        <v>8000</v>
      </c>
      <c r="U3" s="8" t="s">
        <v>325</v>
      </c>
      <c r="V3" s="8" t="str">
        <f t="shared" ref="V3:V66" si="10">G3</f>
        <v>Aarhus C</v>
      </c>
      <c r="W3" s="8" t="s">
        <v>329</v>
      </c>
      <c r="X3" s="8">
        <f t="shared" ref="X3:X66" si="11">C3</f>
        <v>0</v>
      </c>
      <c r="Y3" s="8" t="s">
        <v>332</v>
      </c>
      <c r="Z3" s="8" t="str">
        <f t="shared" ref="Z3:Z66" si="12">I3</f>
        <v>Ja</v>
      </c>
      <c r="AA3" s="6" t="s">
        <v>334</v>
      </c>
      <c r="AB3" s="6"/>
      <c r="AD3" t="s">
        <v>322</v>
      </c>
      <c r="AE3" t="str">
        <f t="shared" si="0"/>
        <v>Adgangsvej til Ø2 og Ø3 via kanal</v>
      </c>
      <c r="AF3" s="4" t="s">
        <v>323</v>
      </c>
      <c r="AG3" t="str">
        <f t="shared" si="1"/>
        <v>Pier 4, Aarhus Havn</v>
      </c>
      <c r="AH3" s="4" t="s">
        <v>324</v>
      </c>
      <c r="AI3">
        <f t="shared" si="2"/>
        <v>8000</v>
      </c>
      <c r="AJ3" t="s">
        <v>325</v>
      </c>
      <c r="AK3" t="str">
        <f t="shared" si="3"/>
        <v>Aarhus C</v>
      </c>
      <c r="AL3" s="4" t="s">
        <v>324</v>
      </c>
      <c r="AM3">
        <f t="shared" si="4"/>
        <v>87412350</v>
      </c>
      <c r="AN3" t="s">
        <v>326</v>
      </c>
      <c r="AO3">
        <v>1</v>
      </c>
      <c r="AP3" t="s">
        <v>327</v>
      </c>
    </row>
    <row r="4" spans="1:42" ht="91.8" x14ac:dyDescent="0.2">
      <c r="A4" s="2">
        <v>45</v>
      </c>
      <c r="B4" s="2" t="s">
        <v>9</v>
      </c>
      <c r="C4" s="2" t="s">
        <v>10</v>
      </c>
      <c r="D4" s="2" t="s">
        <v>11</v>
      </c>
      <c r="E4" s="2" t="s">
        <v>12</v>
      </c>
      <c r="F4" s="2">
        <v>8200</v>
      </c>
      <c r="G4" s="2" t="s">
        <v>13</v>
      </c>
      <c r="H4" s="2">
        <v>29209267</v>
      </c>
      <c r="I4" s="2" t="s">
        <v>14</v>
      </c>
      <c r="J4" s="6" t="s">
        <v>333</v>
      </c>
      <c r="K4" s="6" t="s">
        <v>328</v>
      </c>
      <c r="L4" s="6" t="str">
        <f t="shared" si="5"/>
        <v>AffaldsCenter</v>
      </c>
      <c r="M4" s="8" t="s">
        <v>330</v>
      </c>
      <c r="N4" s="6" t="str">
        <f t="shared" si="6"/>
        <v>MIDLERTIDIG OPLAG</v>
      </c>
      <c r="O4" s="8" t="s">
        <v>331</v>
      </c>
      <c r="P4" s="6" t="str">
        <f t="shared" si="7"/>
        <v>AffaldsCenter</v>
      </c>
      <c r="Q4" s="8" t="s">
        <v>329</v>
      </c>
      <c r="R4" s="6" t="str">
        <f t="shared" si="8"/>
        <v>Ølstedvej 20 - 36</v>
      </c>
      <c r="S4" s="8" t="s">
        <v>324</v>
      </c>
      <c r="T4" s="8">
        <f t="shared" si="9"/>
        <v>8200</v>
      </c>
      <c r="U4" s="8" t="s">
        <v>325</v>
      </c>
      <c r="V4" s="8" t="str">
        <f t="shared" si="10"/>
        <v>Aarhus N</v>
      </c>
      <c r="W4" s="8" t="s">
        <v>329</v>
      </c>
      <c r="X4" s="8" t="str">
        <f t="shared" si="11"/>
        <v>(E-mail: vejerbod@mtm.aarhus.dk)</v>
      </c>
      <c r="Y4" s="8" t="s">
        <v>332</v>
      </c>
      <c r="Z4" s="8" t="str">
        <f t="shared" si="12"/>
        <v>Ja</v>
      </c>
      <c r="AA4" s="6" t="s">
        <v>334</v>
      </c>
      <c r="AB4" s="7"/>
      <c r="AD4" t="s">
        <v>322</v>
      </c>
      <c r="AE4" t="str">
        <f t="shared" si="0"/>
        <v>AffaldsCenter</v>
      </c>
      <c r="AF4" s="4" t="s">
        <v>323</v>
      </c>
      <c r="AG4" t="str">
        <f t="shared" si="1"/>
        <v>Ølstedvej 20 - 36</v>
      </c>
      <c r="AH4" s="4" t="s">
        <v>324</v>
      </c>
      <c r="AI4">
        <f t="shared" si="2"/>
        <v>8200</v>
      </c>
      <c r="AJ4" t="s">
        <v>325</v>
      </c>
      <c r="AK4" t="str">
        <f t="shared" si="3"/>
        <v>Aarhus N</v>
      </c>
      <c r="AL4" s="4" t="s">
        <v>324</v>
      </c>
      <c r="AM4">
        <f t="shared" si="4"/>
        <v>29209267</v>
      </c>
      <c r="AN4" t="s">
        <v>326</v>
      </c>
      <c r="AO4">
        <v>1</v>
      </c>
      <c r="AP4" t="s">
        <v>327</v>
      </c>
    </row>
    <row r="5" spans="1:42" ht="91.8" x14ac:dyDescent="0.2">
      <c r="A5" s="2">
        <v>844</v>
      </c>
      <c r="B5" s="2" t="s">
        <v>170</v>
      </c>
      <c r="C5" s="2"/>
      <c r="D5" s="2" t="s">
        <v>51</v>
      </c>
      <c r="E5" s="2" t="s">
        <v>171</v>
      </c>
      <c r="F5" s="2">
        <v>8660</v>
      </c>
      <c r="G5" s="2" t="s">
        <v>172</v>
      </c>
      <c r="H5" s="2">
        <v>86525211</v>
      </c>
      <c r="I5" s="2" t="s">
        <v>14</v>
      </c>
      <c r="J5" s="6" t="s">
        <v>333</v>
      </c>
      <c r="K5" s="6" t="s">
        <v>328</v>
      </c>
      <c r="L5" s="6" t="str">
        <f t="shared" si="5"/>
        <v>Affaldscenter Skårup (RenoSyd)</v>
      </c>
      <c r="M5" s="8" t="s">
        <v>330</v>
      </c>
      <c r="N5" s="6" t="str">
        <f t="shared" si="6"/>
        <v>RENJORDSTIP</v>
      </c>
      <c r="O5" s="8" t="s">
        <v>331</v>
      </c>
      <c r="P5" s="6" t="str">
        <f t="shared" si="7"/>
        <v>Affaldscenter Skårup (RenoSyd)</v>
      </c>
      <c r="Q5" s="8" t="s">
        <v>329</v>
      </c>
      <c r="R5" s="6" t="str">
        <f t="shared" si="8"/>
        <v>Oddervej 75</v>
      </c>
      <c r="S5" s="8" t="s">
        <v>324</v>
      </c>
      <c r="T5" s="8">
        <f t="shared" si="9"/>
        <v>8660</v>
      </c>
      <c r="U5" s="8" t="s">
        <v>325</v>
      </c>
      <c r="V5" s="8" t="str">
        <f t="shared" si="10"/>
        <v>Skanderborg</v>
      </c>
      <c r="W5" s="8" t="s">
        <v>329</v>
      </c>
      <c r="X5" s="8">
        <f t="shared" si="11"/>
        <v>0</v>
      </c>
      <c r="Y5" s="8" t="s">
        <v>332</v>
      </c>
      <c r="Z5" s="8" t="str">
        <f t="shared" si="12"/>
        <v>Ja</v>
      </c>
      <c r="AA5" s="6" t="s">
        <v>334</v>
      </c>
      <c r="AB5" s="7"/>
      <c r="AD5" t="s">
        <v>322</v>
      </c>
      <c r="AE5" t="str">
        <f t="shared" si="0"/>
        <v>Affaldscenter Skårup (RenoSyd)</v>
      </c>
      <c r="AF5" s="4" t="s">
        <v>323</v>
      </c>
      <c r="AG5" t="str">
        <f t="shared" si="1"/>
        <v>Oddervej 75</v>
      </c>
      <c r="AH5" s="4" t="s">
        <v>324</v>
      </c>
      <c r="AI5">
        <f t="shared" si="2"/>
        <v>8660</v>
      </c>
      <c r="AJ5" t="s">
        <v>325</v>
      </c>
      <c r="AK5" t="str">
        <f t="shared" si="3"/>
        <v>Skanderborg</v>
      </c>
      <c r="AL5" s="4" t="s">
        <v>324</v>
      </c>
      <c r="AM5">
        <f t="shared" si="4"/>
        <v>86525211</v>
      </c>
      <c r="AN5" t="s">
        <v>326</v>
      </c>
      <c r="AO5">
        <v>1</v>
      </c>
      <c r="AP5" t="s">
        <v>327</v>
      </c>
    </row>
    <row r="6" spans="1:42" ht="91.8" x14ac:dyDescent="0.2">
      <c r="A6" s="3">
        <v>1030</v>
      </c>
      <c r="B6" s="3" t="s">
        <v>203</v>
      </c>
      <c r="C6" s="3" t="s">
        <v>204</v>
      </c>
      <c r="D6" s="3" t="s">
        <v>33</v>
      </c>
      <c r="E6" s="3" t="s">
        <v>205</v>
      </c>
      <c r="F6" s="3">
        <v>8660</v>
      </c>
      <c r="G6" s="3" t="s">
        <v>172</v>
      </c>
      <c r="H6" s="3">
        <v>0</v>
      </c>
      <c r="I6" s="3" t="s">
        <v>28</v>
      </c>
      <c r="J6" s="6" t="s">
        <v>333</v>
      </c>
      <c r="K6" s="6" t="s">
        <v>328</v>
      </c>
      <c r="L6" s="6" t="str">
        <f t="shared" si="5"/>
        <v>Andreas Børgesen</v>
      </c>
      <c r="M6" s="8" t="s">
        <v>330</v>
      </c>
      <c r="N6" s="6" t="str">
        <f t="shared" si="6"/>
        <v>JORDTIP</v>
      </c>
      <c r="O6" s="8" t="s">
        <v>331</v>
      </c>
      <c r="P6" s="6" t="str">
        <f t="shared" si="7"/>
        <v>Andreas Børgesen</v>
      </c>
      <c r="Q6" s="8" t="s">
        <v>329</v>
      </c>
      <c r="R6" s="6" t="str">
        <f t="shared" si="8"/>
        <v>Forlev Møllevej 49</v>
      </c>
      <c r="S6" s="8" t="s">
        <v>324</v>
      </c>
      <c r="T6" s="8">
        <f t="shared" si="9"/>
        <v>8660</v>
      </c>
      <c r="U6" s="8" t="s">
        <v>325</v>
      </c>
      <c r="V6" s="8" t="str">
        <f t="shared" si="10"/>
        <v>Skanderborg</v>
      </c>
      <c r="W6" s="8" t="s">
        <v>329</v>
      </c>
      <c r="X6" s="8" t="str">
        <f t="shared" si="11"/>
        <v>10o Mesing By, Mesing</v>
      </c>
      <c r="Y6" s="8" t="s">
        <v>332</v>
      </c>
      <c r="Z6" s="8" t="str">
        <f t="shared" si="12"/>
        <v>Nej</v>
      </c>
      <c r="AA6" s="6" t="s">
        <v>334</v>
      </c>
      <c r="AB6" s="6"/>
      <c r="AD6" t="s">
        <v>322</v>
      </c>
      <c r="AE6" t="str">
        <f t="shared" si="0"/>
        <v>Andreas Børgesen</v>
      </c>
      <c r="AF6" s="4" t="s">
        <v>323</v>
      </c>
      <c r="AG6" t="str">
        <f t="shared" si="1"/>
        <v>Forlev Møllevej 49</v>
      </c>
      <c r="AH6" s="4" t="s">
        <v>324</v>
      </c>
      <c r="AI6">
        <f t="shared" si="2"/>
        <v>8660</v>
      </c>
      <c r="AJ6" t="s">
        <v>325</v>
      </c>
      <c r="AK6" t="str">
        <f t="shared" si="3"/>
        <v>Skanderborg</v>
      </c>
      <c r="AL6" s="4" t="s">
        <v>324</v>
      </c>
      <c r="AM6">
        <f t="shared" si="4"/>
        <v>0</v>
      </c>
      <c r="AN6" t="s">
        <v>326</v>
      </c>
      <c r="AO6">
        <v>0</v>
      </c>
      <c r="AP6" t="s">
        <v>327</v>
      </c>
    </row>
    <row r="7" spans="1:42" ht="91.8" x14ac:dyDescent="0.2">
      <c r="A7" s="3">
        <v>1511</v>
      </c>
      <c r="B7" s="3" t="s">
        <v>307</v>
      </c>
      <c r="C7" s="3" t="s">
        <v>308</v>
      </c>
      <c r="D7" s="3" t="s">
        <v>33</v>
      </c>
      <c r="E7" s="3" t="s">
        <v>309</v>
      </c>
      <c r="F7" s="3">
        <v>6000</v>
      </c>
      <c r="G7" s="3" t="s">
        <v>22</v>
      </c>
      <c r="H7" s="3">
        <v>75539999</v>
      </c>
      <c r="I7" s="3" t="s">
        <v>14</v>
      </c>
      <c r="J7" s="6" t="s">
        <v>333</v>
      </c>
      <c r="K7" s="6" t="s">
        <v>328</v>
      </c>
      <c r="L7" s="6" t="str">
        <f t="shared" si="5"/>
        <v>Arkil A/S</v>
      </c>
      <c r="M7" s="8" t="s">
        <v>330</v>
      </c>
      <c r="N7" s="6" t="str">
        <f t="shared" si="6"/>
        <v>JORDTIP</v>
      </c>
      <c r="O7" s="8" t="s">
        <v>331</v>
      </c>
      <c r="P7" s="6" t="str">
        <f t="shared" si="7"/>
        <v>Arkil A/S</v>
      </c>
      <c r="Q7" s="8" t="s">
        <v>329</v>
      </c>
      <c r="R7" s="6" t="str">
        <f t="shared" si="8"/>
        <v>Vrandervej 48</v>
      </c>
      <c r="S7" s="8" t="s">
        <v>324</v>
      </c>
      <c r="T7" s="8">
        <f t="shared" si="9"/>
        <v>6000</v>
      </c>
      <c r="U7" s="8" t="s">
        <v>325</v>
      </c>
      <c r="V7" s="8" t="str">
        <f t="shared" si="10"/>
        <v>Kolding</v>
      </c>
      <c r="W7" s="8" t="s">
        <v>329</v>
      </c>
      <c r="X7" s="8" t="str">
        <f t="shared" si="11"/>
        <v>4a Seest By, Seest</v>
      </c>
      <c r="Y7" s="8" t="s">
        <v>332</v>
      </c>
      <c r="Z7" s="8" t="str">
        <f t="shared" si="12"/>
        <v>Ja</v>
      </c>
      <c r="AA7" s="6" t="s">
        <v>334</v>
      </c>
      <c r="AB7" s="6"/>
      <c r="AD7" t="s">
        <v>322</v>
      </c>
      <c r="AE7" t="str">
        <f t="shared" si="0"/>
        <v>Arkil A/S</v>
      </c>
      <c r="AF7" s="4" t="s">
        <v>323</v>
      </c>
      <c r="AG7" t="str">
        <f t="shared" si="1"/>
        <v>Vrandervej 48</v>
      </c>
      <c r="AH7" s="4" t="s">
        <v>324</v>
      </c>
      <c r="AI7">
        <f t="shared" si="2"/>
        <v>6000</v>
      </c>
      <c r="AJ7" t="s">
        <v>325</v>
      </c>
      <c r="AK7" t="str">
        <f t="shared" si="3"/>
        <v>Kolding</v>
      </c>
      <c r="AL7" s="4" t="s">
        <v>324</v>
      </c>
      <c r="AM7">
        <f t="shared" si="4"/>
        <v>75539999</v>
      </c>
      <c r="AN7" t="s">
        <v>326</v>
      </c>
      <c r="AO7">
        <v>1</v>
      </c>
      <c r="AP7" t="s">
        <v>327</v>
      </c>
    </row>
    <row r="8" spans="1:42" ht="91.8" x14ac:dyDescent="0.2">
      <c r="A8" s="2">
        <v>1084</v>
      </c>
      <c r="B8" s="2" t="s">
        <v>222</v>
      </c>
      <c r="C8" s="2"/>
      <c r="D8" s="2" t="s">
        <v>56</v>
      </c>
      <c r="E8" s="2" t="s">
        <v>223</v>
      </c>
      <c r="F8" s="2">
        <v>8361</v>
      </c>
      <c r="G8" s="2" t="s">
        <v>121</v>
      </c>
      <c r="H8" s="2">
        <v>0</v>
      </c>
      <c r="I8" s="2" t="s">
        <v>14</v>
      </c>
      <c r="J8" s="6" t="s">
        <v>333</v>
      </c>
      <c r="K8" s="6" t="s">
        <v>328</v>
      </c>
      <c r="L8" s="6" t="str">
        <f t="shared" si="5"/>
        <v>Arkil Asfalt A/S</v>
      </c>
      <c r="M8" s="8" t="s">
        <v>330</v>
      </c>
      <c r="N8" s="6" t="str">
        <f t="shared" si="6"/>
        <v>GENANVENDELSE</v>
      </c>
      <c r="O8" s="8" t="s">
        <v>331</v>
      </c>
      <c r="P8" s="6" t="str">
        <f t="shared" si="7"/>
        <v>Arkil Asfalt A/S</v>
      </c>
      <c r="Q8" s="8" t="s">
        <v>329</v>
      </c>
      <c r="R8" s="6" t="str">
        <f t="shared" si="8"/>
        <v>Birkemosevej 5A</v>
      </c>
      <c r="S8" s="8" t="s">
        <v>324</v>
      </c>
      <c r="T8" s="8">
        <f t="shared" si="9"/>
        <v>8361</v>
      </c>
      <c r="U8" s="8" t="s">
        <v>325</v>
      </c>
      <c r="V8" s="8" t="str">
        <f t="shared" si="10"/>
        <v>Hasselager</v>
      </c>
      <c r="W8" s="8" t="s">
        <v>329</v>
      </c>
      <c r="X8" s="8">
        <f t="shared" si="11"/>
        <v>0</v>
      </c>
      <c r="Y8" s="8" t="s">
        <v>332</v>
      </c>
      <c r="Z8" s="8" t="str">
        <f t="shared" si="12"/>
        <v>Ja</v>
      </c>
      <c r="AA8" s="6" t="s">
        <v>334</v>
      </c>
      <c r="AB8" s="7"/>
      <c r="AD8" t="s">
        <v>322</v>
      </c>
      <c r="AE8" t="str">
        <f t="shared" si="0"/>
        <v>Arkil Asfalt A/S</v>
      </c>
      <c r="AF8" s="4" t="s">
        <v>323</v>
      </c>
      <c r="AG8" t="str">
        <f t="shared" si="1"/>
        <v>Birkemosevej 5A</v>
      </c>
      <c r="AH8" s="4" t="s">
        <v>324</v>
      </c>
      <c r="AI8">
        <f t="shared" si="2"/>
        <v>8361</v>
      </c>
      <c r="AJ8" t="s">
        <v>325</v>
      </c>
      <c r="AK8" t="str">
        <f t="shared" si="3"/>
        <v>Hasselager</v>
      </c>
      <c r="AL8" s="4" t="s">
        <v>324</v>
      </c>
      <c r="AM8">
        <f t="shared" si="4"/>
        <v>0</v>
      </c>
      <c r="AN8" t="s">
        <v>326</v>
      </c>
      <c r="AO8">
        <v>1</v>
      </c>
      <c r="AP8" t="s">
        <v>327</v>
      </c>
    </row>
    <row r="9" spans="1:42" ht="91.8" x14ac:dyDescent="0.2">
      <c r="A9" s="2">
        <v>1492</v>
      </c>
      <c r="B9" s="2" t="s">
        <v>287</v>
      </c>
      <c r="C9" s="2" t="s">
        <v>288</v>
      </c>
      <c r="D9" s="2" t="s">
        <v>56</v>
      </c>
      <c r="E9" s="2" t="s">
        <v>289</v>
      </c>
      <c r="F9" s="2">
        <v>8000</v>
      </c>
      <c r="G9" s="2" t="s">
        <v>35</v>
      </c>
      <c r="H9" s="2">
        <v>87396887</v>
      </c>
      <c r="I9" s="2" t="s">
        <v>14</v>
      </c>
      <c r="J9" s="6" t="s">
        <v>333</v>
      </c>
      <c r="K9" s="6" t="s">
        <v>328</v>
      </c>
      <c r="L9" s="6" t="str">
        <f t="shared" si="5"/>
        <v>Bestseller, rampe til byggegrube</v>
      </c>
      <c r="M9" s="8" t="s">
        <v>330</v>
      </c>
      <c r="N9" s="6" t="str">
        <f t="shared" si="6"/>
        <v>GENANVENDELSE</v>
      </c>
      <c r="O9" s="8" t="s">
        <v>331</v>
      </c>
      <c r="P9" s="6" t="str">
        <f t="shared" si="7"/>
        <v>Bestseller, rampe til byggegrube</v>
      </c>
      <c r="Q9" s="8" t="s">
        <v>329</v>
      </c>
      <c r="R9" s="6" t="str">
        <f t="shared" si="8"/>
        <v>Inge Lehmanns Gade 950</v>
      </c>
      <c r="S9" s="8" t="s">
        <v>324</v>
      </c>
      <c r="T9" s="8">
        <f t="shared" si="9"/>
        <v>8000</v>
      </c>
      <c r="U9" s="8" t="s">
        <v>325</v>
      </c>
      <c r="V9" s="8" t="str">
        <f t="shared" si="10"/>
        <v>Aarhus C</v>
      </c>
      <c r="W9" s="8" t="s">
        <v>329</v>
      </c>
      <c r="X9" s="8" t="str">
        <f t="shared" si="11"/>
        <v>2148dz Århus Bygrunde</v>
      </c>
      <c r="Y9" s="8" t="s">
        <v>332</v>
      </c>
      <c r="Z9" s="8" t="str">
        <f t="shared" si="12"/>
        <v>Ja</v>
      </c>
      <c r="AA9" s="6" t="s">
        <v>334</v>
      </c>
      <c r="AB9" s="7"/>
      <c r="AD9" t="s">
        <v>322</v>
      </c>
      <c r="AE9" t="str">
        <f t="shared" si="0"/>
        <v>Bestseller, rampe til byggegrube</v>
      </c>
      <c r="AF9" s="4" t="s">
        <v>323</v>
      </c>
      <c r="AG9" t="str">
        <f t="shared" si="1"/>
        <v>Inge Lehmanns Gade 950</v>
      </c>
      <c r="AH9" s="4" t="s">
        <v>324</v>
      </c>
      <c r="AI9">
        <f t="shared" si="2"/>
        <v>8000</v>
      </c>
      <c r="AJ9" t="s">
        <v>325</v>
      </c>
      <c r="AK9" t="str">
        <f t="shared" si="3"/>
        <v>Aarhus C</v>
      </c>
      <c r="AL9" s="4" t="s">
        <v>324</v>
      </c>
      <c r="AM9">
        <f t="shared" si="4"/>
        <v>87396887</v>
      </c>
      <c r="AN9" t="s">
        <v>326</v>
      </c>
      <c r="AO9">
        <v>1</v>
      </c>
      <c r="AP9" t="s">
        <v>327</v>
      </c>
    </row>
    <row r="10" spans="1:42" ht="91.8" x14ac:dyDescent="0.2">
      <c r="A10" s="3">
        <v>644</v>
      </c>
      <c r="B10" s="3" t="s">
        <v>138</v>
      </c>
      <c r="C10" s="3"/>
      <c r="D10" s="3" t="s">
        <v>33</v>
      </c>
      <c r="E10" s="3" t="s">
        <v>139</v>
      </c>
      <c r="F10" s="3">
        <v>8643</v>
      </c>
      <c r="G10" s="3" t="s">
        <v>140</v>
      </c>
      <c r="H10" s="3">
        <v>87700550</v>
      </c>
      <c r="I10" s="3" t="s">
        <v>14</v>
      </c>
      <c r="J10" s="6" t="s">
        <v>333</v>
      </c>
      <c r="K10" s="6" t="s">
        <v>328</v>
      </c>
      <c r="L10" s="6" t="str">
        <f t="shared" si="5"/>
        <v>BG Stones</v>
      </c>
      <c r="M10" s="8" t="s">
        <v>330</v>
      </c>
      <c r="N10" s="6" t="str">
        <f t="shared" si="6"/>
        <v>JORDTIP</v>
      </c>
      <c r="O10" s="8" t="s">
        <v>331</v>
      </c>
      <c r="P10" s="6" t="str">
        <f t="shared" si="7"/>
        <v>BG Stones</v>
      </c>
      <c r="Q10" s="8" t="s">
        <v>329</v>
      </c>
      <c r="R10" s="6" t="str">
        <f t="shared" si="8"/>
        <v>Gudenåvej 17</v>
      </c>
      <c r="S10" s="8" t="s">
        <v>324</v>
      </c>
      <c r="T10" s="8">
        <f t="shared" si="9"/>
        <v>8643</v>
      </c>
      <c r="U10" s="8" t="s">
        <v>325</v>
      </c>
      <c r="V10" s="8" t="str">
        <f t="shared" si="10"/>
        <v>Ans By</v>
      </c>
      <c r="W10" s="8" t="s">
        <v>329</v>
      </c>
      <c r="X10" s="8">
        <f t="shared" si="11"/>
        <v>0</v>
      </c>
      <c r="Y10" s="8" t="s">
        <v>332</v>
      </c>
      <c r="Z10" s="8" t="str">
        <f t="shared" si="12"/>
        <v>Ja</v>
      </c>
      <c r="AA10" s="6" t="s">
        <v>334</v>
      </c>
      <c r="AB10" s="6"/>
      <c r="AD10" t="s">
        <v>322</v>
      </c>
      <c r="AE10" t="str">
        <f t="shared" si="0"/>
        <v>BG Stones</v>
      </c>
      <c r="AF10" s="4" t="s">
        <v>323</v>
      </c>
      <c r="AG10" t="str">
        <f t="shared" si="1"/>
        <v>Gudenåvej 17</v>
      </c>
      <c r="AH10" s="4" t="s">
        <v>324</v>
      </c>
      <c r="AI10">
        <f t="shared" si="2"/>
        <v>8643</v>
      </c>
      <c r="AJ10" t="s">
        <v>325</v>
      </c>
      <c r="AK10" t="str">
        <f t="shared" si="3"/>
        <v>Ans By</v>
      </c>
      <c r="AL10" s="4" t="s">
        <v>324</v>
      </c>
      <c r="AM10">
        <f t="shared" si="4"/>
        <v>87700550</v>
      </c>
      <c r="AN10" t="s">
        <v>326</v>
      </c>
      <c r="AO10">
        <v>1</v>
      </c>
      <c r="AP10" t="s">
        <v>327</v>
      </c>
    </row>
    <row r="11" spans="1:42" ht="91.8" x14ac:dyDescent="0.2">
      <c r="A11" s="2">
        <v>1004</v>
      </c>
      <c r="B11" s="2" t="s">
        <v>193</v>
      </c>
      <c r="C11" s="2" t="s">
        <v>194</v>
      </c>
      <c r="D11" s="2" t="s">
        <v>51</v>
      </c>
      <c r="E11" s="2" t="s">
        <v>159</v>
      </c>
      <c r="F11" s="2">
        <v>8400</v>
      </c>
      <c r="G11" s="2" t="s">
        <v>195</v>
      </c>
      <c r="H11" s="2">
        <v>86320200</v>
      </c>
      <c r="I11" s="2" t="s">
        <v>14</v>
      </c>
      <c r="J11" s="6" t="s">
        <v>333</v>
      </c>
      <c r="K11" s="6" t="s">
        <v>328</v>
      </c>
      <c r="L11" s="6" t="str">
        <f t="shared" si="5"/>
        <v>Birkesig Sten og Grus</v>
      </c>
      <c r="M11" s="8" t="s">
        <v>330</v>
      </c>
      <c r="N11" s="6" t="str">
        <f t="shared" si="6"/>
        <v>RENJORDSTIP</v>
      </c>
      <c r="O11" s="8" t="s">
        <v>331</v>
      </c>
      <c r="P11" s="6" t="str">
        <f t="shared" si="7"/>
        <v>Birkesig Sten og Grus</v>
      </c>
      <c r="Q11" s="8" t="s">
        <v>329</v>
      </c>
      <c r="R11" s="6" t="str">
        <f t="shared" si="8"/>
        <v>Rugårdsvej 18</v>
      </c>
      <c r="S11" s="8" t="s">
        <v>324</v>
      </c>
      <c r="T11" s="8">
        <f t="shared" si="9"/>
        <v>8400</v>
      </c>
      <c r="U11" s="8" t="s">
        <v>325</v>
      </c>
      <c r="V11" s="8" t="str">
        <f t="shared" si="10"/>
        <v>Ebeltoft</v>
      </c>
      <c r="W11" s="8" t="s">
        <v>329</v>
      </c>
      <c r="X11" s="8" t="str">
        <f t="shared" si="11"/>
        <v>18 Balle By, Rosmus</v>
      </c>
      <c r="Y11" s="8" t="s">
        <v>332</v>
      </c>
      <c r="Z11" s="8" t="str">
        <f t="shared" si="12"/>
        <v>Ja</v>
      </c>
      <c r="AA11" s="6" t="s">
        <v>334</v>
      </c>
      <c r="AB11" s="7"/>
      <c r="AD11" t="s">
        <v>322</v>
      </c>
      <c r="AE11" t="str">
        <f t="shared" si="0"/>
        <v>Birkesig Sten og Grus</v>
      </c>
      <c r="AF11" s="4" t="s">
        <v>323</v>
      </c>
      <c r="AG11" t="str">
        <f t="shared" si="1"/>
        <v>Rugårdsvej 18</v>
      </c>
      <c r="AH11" s="4" t="s">
        <v>324</v>
      </c>
      <c r="AI11">
        <f t="shared" si="2"/>
        <v>8400</v>
      </c>
      <c r="AJ11" t="s">
        <v>325</v>
      </c>
      <c r="AK11" t="str">
        <f t="shared" si="3"/>
        <v>Ebeltoft</v>
      </c>
      <c r="AL11" s="4" t="s">
        <v>324</v>
      </c>
      <c r="AM11">
        <f t="shared" si="4"/>
        <v>86320200</v>
      </c>
      <c r="AN11" t="s">
        <v>326</v>
      </c>
      <c r="AO11">
        <v>1</v>
      </c>
      <c r="AP11" t="s">
        <v>327</v>
      </c>
    </row>
    <row r="12" spans="1:42" ht="91.8" x14ac:dyDescent="0.2">
      <c r="A12" s="3">
        <v>1006</v>
      </c>
      <c r="B12" s="3" t="s">
        <v>193</v>
      </c>
      <c r="C12" s="3" t="s">
        <v>194</v>
      </c>
      <c r="D12" s="3" t="s">
        <v>51</v>
      </c>
      <c r="E12" s="3" t="s">
        <v>159</v>
      </c>
      <c r="F12" s="3">
        <v>8400</v>
      </c>
      <c r="G12" s="3" t="s">
        <v>195</v>
      </c>
      <c r="H12" s="3">
        <v>86320200</v>
      </c>
      <c r="I12" s="3" t="s">
        <v>14</v>
      </c>
      <c r="J12" s="6" t="s">
        <v>333</v>
      </c>
      <c r="K12" s="6" t="s">
        <v>328</v>
      </c>
      <c r="L12" s="6" t="str">
        <f t="shared" si="5"/>
        <v>Birkesig Sten og Grus</v>
      </c>
      <c r="M12" s="8" t="s">
        <v>330</v>
      </c>
      <c r="N12" s="6" t="str">
        <f t="shared" si="6"/>
        <v>RENJORDSTIP</v>
      </c>
      <c r="O12" s="8" t="s">
        <v>331</v>
      </c>
      <c r="P12" s="6" t="str">
        <f t="shared" si="7"/>
        <v>Birkesig Sten og Grus</v>
      </c>
      <c r="Q12" s="8" t="s">
        <v>329</v>
      </c>
      <c r="R12" s="6" t="str">
        <f t="shared" si="8"/>
        <v>Rugårdsvej 18</v>
      </c>
      <c r="S12" s="8" t="s">
        <v>324</v>
      </c>
      <c r="T12" s="8">
        <f t="shared" si="9"/>
        <v>8400</v>
      </c>
      <c r="U12" s="8" t="s">
        <v>325</v>
      </c>
      <c r="V12" s="8" t="str">
        <f t="shared" si="10"/>
        <v>Ebeltoft</v>
      </c>
      <c r="W12" s="8" t="s">
        <v>329</v>
      </c>
      <c r="X12" s="8" t="str">
        <f t="shared" si="11"/>
        <v>18 Balle By, Rosmus</v>
      </c>
      <c r="Y12" s="8" t="s">
        <v>332</v>
      </c>
      <c r="Z12" s="8" t="str">
        <f t="shared" si="12"/>
        <v>Ja</v>
      </c>
      <c r="AA12" s="6" t="s">
        <v>334</v>
      </c>
      <c r="AB12" s="6"/>
      <c r="AF12" s="4"/>
      <c r="AH12" s="4"/>
      <c r="AL12" s="4"/>
    </row>
    <row r="13" spans="1:42" ht="91.8" x14ac:dyDescent="0.2">
      <c r="A13" s="2">
        <v>884</v>
      </c>
      <c r="B13" s="2" t="s">
        <v>176</v>
      </c>
      <c r="C13" s="2"/>
      <c r="D13" s="2" t="s">
        <v>56</v>
      </c>
      <c r="E13" s="2" t="s">
        <v>177</v>
      </c>
      <c r="F13" s="2">
        <v>8200</v>
      </c>
      <c r="G13" s="2" t="s">
        <v>13</v>
      </c>
      <c r="H13" s="2">
        <v>87393948</v>
      </c>
      <c r="I13" s="2" t="s">
        <v>28</v>
      </c>
      <c r="J13" s="6" t="s">
        <v>333</v>
      </c>
      <c r="K13" s="6" t="s">
        <v>328</v>
      </c>
      <c r="L13" s="6" t="str">
        <f t="shared" si="5"/>
        <v>Boligforeningen Vesterbo</v>
      </c>
      <c r="M13" s="8" t="s">
        <v>330</v>
      </c>
      <c r="N13" s="6" t="str">
        <f t="shared" si="6"/>
        <v>GENANVENDELSE</v>
      </c>
      <c r="O13" s="8" t="s">
        <v>331</v>
      </c>
      <c r="P13" s="6" t="str">
        <f t="shared" si="7"/>
        <v>Boligforeningen Vesterbo</v>
      </c>
      <c r="Q13" s="8" t="s">
        <v>329</v>
      </c>
      <c r="R13" s="6" t="str">
        <f t="shared" si="8"/>
        <v>Reginehøjvej 1 - 11</v>
      </c>
      <c r="S13" s="8" t="s">
        <v>324</v>
      </c>
      <c r="T13" s="8">
        <f t="shared" si="9"/>
        <v>8200</v>
      </c>
      <c r="U13" s="8" t="s">
        <v>325</v>
      </c>
      <c r="V13" s="8" t="str">
        <f t="shared" si="10"/>
        <v>Aarhus N</v>
      </c>
      <c r="W13" s="8" t="s">
        <v>329</v>
      </c>
      <c r="X13" s="8">
        <f t="shared" si="11"/>
        <v>0</v>
      </c>
      <c r="Y13" s="8" t="s">
        <v>332</v>
      </c>
      <c r="Z13" s="8" t="str">
        <f t="shared" si="12"/>
        <v>Nej</v>
      </c>
      <c r="AA13" s="6" t="s">
        <v>334</v>
      </c>
      <c r="AB13" s="7"/>
      <c r="AD13" t="s">
        <v>322</v>
      </c>
      <c r="AE13" t="str">
        <f>B13</f>
        <v>Boligforeningen Vesterbo</v>
      </c>
      <c r="AF13" s="4" t="s">
        <v>323</v>
      </c>
      <c r="AG13" t="str">
        <f>E13</f>
        <v>Reginehøjvej 1 - 11</v>
      </c>
      <c r="AH13" s="4" t="s">
        <v>324</v>
      </c>
      <c r="AI13">
        <f>F13</f>
        <v>8200</v>
      </c>
      <c r="AJ13" t="s">
        <v>325</v>
      </c>
      <c r="AK13" t="str">
        <f>G13</f>
        <v>Aarhus N</v>
      </c>
      <c r="AL13" s="4" t="s">
        <v>324</v>
      </c>
      <c r="AM13">
        <f>H13</f>
        <v>87393948</v>
      </c>
      <c r="AN13" t="s">
        <v>326</v>
      </c>
      <c r="AO13">
        <v>0</v>
      </c>
      <c r="AP13" t="s">
        <v>327</v>
      </c>
    </row>
    <row r="14" spans="1:42" ht="91.8" x14ac:dyDescent="0.2">
      <c r="A14" s="3">
        <v>564</v>
      </c>
      <c r="B14" s="3" t="s">
        <v>126</v>
      </c>
      <c r="C14" s="3"/>
      <c r="D14" s="3" t="s">
        <v>33</v>
      </c>
      <c r="E14" s="3" t="s">
        <v>127</v>
      </c>
      <c r="F14" s="3">
        <v>8541</v>
      </c>
      <c r="G14" s="3" t="s">
        <v>128</v>
      </c>
      <c r="H14" s="3">
        <v>86992555</v>
      </c>
      <c r="I14" s="3" t="s">
        <v>28</v>
      </c>
      <c r="J14" s="6" t="s">
        <v>333</v>
      </c>
      <c r="K14" s="6" t="s">
        <v>328</v>
      </c>
      <c r="L14" s="6" t="str">
        <f t="shared" si="5"/>
        <v>Brd. Madsen og Junior Grusgrav</v>
      </c>
      <c r="M14" s="8" t="s">
        <v>330</v>
      </c>
      <c r="N14" s="6" t="str">
        <f t="shared" si="6"/>
        <v>JORDTIP</v>
      </c>
      <c r="O14" s="8" t="s">
        <v>331</v>
      </c>
      <c r="P14" s="6" t="str">
        <f t="shared" si="7"/>
        <v>Brd. Madsen og Junior Grusgrav</v>
      </c>
      <c r="Q14" s="8" t="s">
        <v>329</v>
      </c>
      <c r="R14" s="6" t="str">
        <f t="shared" si="8"/>
        <v>Grenåvej 665</v>
      </c>
      <c r="S14" s="8" t="s">
        <v>324</v>
      </c>
      <c r="T14" s="8">
        <f t="shared" si="9"/>
        <v>8541</v>
      </c>
      <c r="U14" s="8" t="s">
        <v>325</v>
      </c>
      <c r="V14" s="8" t="str">
        <f t="shared" si="10"/>
        <v>Skødstrup</v>
      </c>
      <c r="W14" s="8" t="s">
        <v>329</v>
      </c>
      <c r="X14" s="8">
        <f t="shared" si="11"/>
        <v>0</v>
      </c>
      <c r="Y14" s="8" t="s">
        <v>332</v>
      </c>
      <c r="Z14" s="8" t="str">
        <f t="shared" si="12"/>
        <v>Nej</v>
      </c>
      <c r="AA14" s="6" t="s">
        <v>334</v>
      </c>
      <c r="AB14" s="6"/>
      <c r="AD14" t="s">
        <v>322</v>
      </c>
      <c r="AE14" t="str">
        <f>B14</f>
        <v>Brd. Madsen og Junior Grusgrav</v>
      </c>
      <c r="AF14" s="4" t="s">
        <v>323</v>
      </c>
      <c r="AG14" t="str">
        <f>E14</f>
        <v>Grenåvej 665</v>
      </c>
      <c r="AH14" s="4" t="s">
        <v>324</v>
      </c>
      <c r="AI14">
        <f>F14</f>
        <v>8541</v>
      </c>
      <c r="AJ14" t="s">
        <v>325</v>
      </c>
      <c r="AK14" t="str">
        <f>G14</f>
        <v>Skødstrup</v>
      </c>
      <c r="AL14" s="4" t="s">
        <v>324</v>
      </c>
      <c r="AM14">
        <f>H14</f>
        <v>86992555</v>
      </c>
      <c r="AN14" t="s">
        <v>326</v>
      </c>
      <c r="AO14">
        <v>0</v>
      </c>
      <c r="AP14" t="s">
        <v>327</v>
      </c>
    </row>
    <row r="15" spans="1:42" ht="91.8" x14ac:dyDescent="0.2">
      <c r="A15" s="3">
        <v>84</v>
      </c>
      <c r="B15" s="3" t="s">
        <v>47</v>
      </c>
      <c r="C15" s="3" t="s">
        <v>48</v>
      </c>
      <c r="D15" s="3" t="s">
        <v>33</v>
      </c>
      <c r="E15" s="3" t="s">
        <v>49</v>
      </c>
      <c r="F15" s="3">
        <v>8200</v>
      </c>
      <c r="G15" s="3" t="s">
        <v>13</v>
      </c>
      <c r="H15" s="3">
        <v>86992555</v>
      </c>
      <c r="I15" s="3" t="s">
        <v>28</v>
      </c>
      <c r="J15" s="6" t="s">
        <v>333</v>
      </c>
      <c r="K15" s="6" t="s">
        <v>328</v>
      </c>
      <c r="L15" s="6" t="str">
        <f t="shared" si="5"/>
        <v>Brd. Madsens Jordtip</v>
      </c>
      <c r="M15" s="8" t="s">
        <v>330</v>
      </c>
      <c r="N15" s="6" t="str">
        <f t="shared" si="6"/>
        <v>JORDTIP</v>
      </c>
      <c r="O15" s="8" t="s">
        <v>331</v>
      </c>
      <c r="P15" s="6" t="str">
        <f t="shared" si="7"/>
        <v>Brd. Madsens Jordtip</v>
      </c>
      <c r="Q15" s="8" t="s">
        <v>329</v>
      </c>
      <c r="R15" s="6" t="str">
        <f t="shared" si="8"/>
        <v>Larsmindevej 15</v>
      </c>
      <c r="S15" s="8" t="s">
        <v>324</v>
      </c>
      <c r="T15" s="8">
        <f t="shared" si="9"/>
        <v>8200</v>
      </c>
      <c r="U15" s="8" t="s">
        <v>325</v>
      </c>
      <c r="V15" s="8" t="str">
        <f t="shared" si="10"/>
        <v>Aarhus N</v>
      </c>
      <c r="W15" s="8" t="s">
        <v>329</v>
      </c>
      <c r="X15" s="8" t="str">
        <f t="shared" si="11"/>
        <v>18 bb og 18 v Lisbjerg, Århus Jorder</v>
      </c>
      <c r="Y15" s="8" t="s">
        <v>332</v>
      </c>
      <c r="Z15" s="8" t="str">
        <f t="shared" si="12"/>
        <v>Nej</v>
      </c>
      <c r="AA15" s="6" t="s">
        <v>334</v>
      </c>
      <c r="AB15" s="6"/>
      <c r="AD15" t="s">
        <v>322</v>
      </c>
      <c r="AE15" t="str">
        <f>B15</f>
        <v>Brd. Madsens Jordtip</v>
      </c>
      <c r="AF15" s="4" t="s">
        <v>323</v>
      </c>
      <c r="AG15" t="str">
        <f>E15</f>
        <v>Larsmindevej 15</v>
      </c>
      <c r="AH15" s="4" t="s">
        <v>324</v>
      </c>
      <c r="AI15">
        <f>F15</f>
        <v>8200</v>
      </c>
      <c r="AJ15" t="s">
        <v>325</v>
      </c>
      <c r="AK15" t="str">
        <f>G15</f>
        <v>Aarhus N</v>
      </c>
      <c r="AL15" s="4" t="s">
        <v>324</v>
      </c>
      <c r="AM15">
        <f>H15</f>
        <v>86992555</v>
      </c>
      <c r="AN15" t="s">
        <v>326</v>
      </c>
      <c r="AO15">
        <v>0</v>
      </c>
      <c r="AP15" t="s">
        <v>327</v>
      </c>
    </row>
    <row r="16" spans="1:42" ht="91.8" x14ac:dyDescent="0.2">
      <c r="A16" s="3">
        <v>604</v>
      </c>
      <c r="B16" s="3" t="s">
        <v>132</v>
      </c>
      <c r="C16" s="3"/>
      <c r="D16" s="3" t="s">
        <v>33</v>
      </c>
      <c r="E16" s="3" t="s">
        <v>133</v>
      </c>
      <c r="F16" s="3">
        <v>8543</v>
      </c>
      <c r="G16" s="3" t="s">
        <v>134</v>
      </c>
      <c r="H16" s="3">
        <v>86992555</v>
      </c>
      <c r="I16" s="3" t="s">
        <v>14</v>
      </c>
      <c r="J16" s="6" t="s">
        <v>333</v>
      </c>
      <c r="K16" s="6" t="s">
        <v>328</v>
      </c>
      <c r="L16" s="6" t="str">
        <f t="shared" si="5"/>
        <v>Brdr. Madsen</v>
      </c>
      <c r="M16" s="8" t="s">
        <v>330</v>
      </c>
      <c r="N16" s="6" t="str">
        <f t="shared" si="6"/>
        <v>JORDTIP</v>
      </c>
      <c r="O16" s="8" t="s">
        <v>331</v>
      </c>
      <c r="P16" s="6" t="str">
        <f t="shared" si="7"/>
        <v>Brdr. Madsen</v>
      </c>
      <c r="Q16" s="8" t="s">
        <v>329</v>
      </c>
      <c r="R16" s="6" t="str">
        <f t="shared" si="8"/>
        <v>Løgtenvej 71</v>
      </c>
      <c r="S16" s="8" t="s">
        <v>324</v>
      </c>
      <c r="T16" s="8">
        <f t="shared" si="9"/>
        <v>8543</v>
      </c>
      <c r="U16" s="8" t="s">
        <v>325</v>
      </c>
      <c r="V16" s="8" t="str">
        <f t="shared" si="10"/>
        <v>Hornslet</v>
      </c>
      <c r="W16" s="8" t="s">
        <v>329</v>
      </c>
      <c r="X16" s="8">
        <f t="shared" si="11"/>
        <v>0</v>
      </c>
      <c r="Y16" s="8" t="s">
        <v>332</v>
      </c>
      <c r="Z16" s="8" t="str">
        <f t="shared" si="12"/>
        <v>Ja</v>
      </c>
      <c r="AA16" s="6" t="s">
        <v>334</v>
      </c>
      <c r="AB16" s="6"/>
      <c r="AF16" s="4"/>
      <c r="AH16" s="4"/>
      <c r="AL16" s="4"/>
    </row>
    <row r="17" spans="1:42" ht="91.8" x14ac:dyDescent="0.2">
      <c r="A17" s="3">
        <v>1126</v>
      </c>
      <c r="B17" s="3" t="s">
        <v>229</v>
      </c>
      <c r="C17" s="3" t="s">
        <v>230</v>
      </c>
      <c r="D17" s="3" t="s">
        <v>56</v>
      </c>
      <c r="E17" s="3" t="s">
        <v>231</v>
      </c>
      <c r="F17" s="3">
        <v>8000</v>
      </c>
      <c r="G17" s="3" t="s">
        <v>35</v>
      </c>
      <c r="H17" s="3">
        <v>24887766</v>
      </c>
      <c r="I17" s="3" t="s">
        <v>28</v>
      </c>
      <c r="J17" s="6" t="s">
        <v>333</v>
      </c>
      <c r="K17" s="6" t="s">
        <v>328</v>
      </c>
      <c r="L17" s="6" t="str">
        <f t="shared" si="5"/>
        <v>Byggeprojekt (NNC)</v>
      </c>
      <c r="M17" s="8" t="s">
        <v>330</v>
      </c>
      <c r="N17" s="6" t="str">
        <f t="shared" si="6"/>
        <v>GENANVENDELSE</v>
      </c>
      <c r="O17" s="8" t="s">
        <v>331</v>
      </c>
      <c r="P17" s="6" t="str">
        <f t="shared" si="7"/>
        <v>Byggeprojekt (NNC)</v>
      </c>
      <c r="Q17" s="8" t="s">
        <v>329</v>
      </c>
      <c r="R17" s="6" t="str">
        <f t="shared" si="8"/>
        <v>Langelandsgade 155</v>
      </c>
      <c r="S17" s="8" t="s">
        <v>324</v>
      </c>
      <c r="T17" s="8">
        <f t="shared" si="9"/>
        <v>8000</v>
      </c>
      <c r="U17" s="8" t="s">
        <v>325</v>
      </c>
      <c r="V17" s="8" t="str">
        <f t="shared" si="10"/>
        <v>Aarhus C</v>
      </c>
      <c r="W17" s="8" t="s">
        <v>329</v>
      </c>
      <c r="X17" s="8" t="str">
        <f t="shared" si="11"/>
        <v>117u Aarhus Markjorder</v>
      </c>
      <c r="Y17" s="8" t="s">
        <v>332</v>
      </c>
      <c r="Z17" s="8" t="str">
        <f t="shared" si="12"/>
        <v>Nej</v>
      </c>
      <c r="AA17" s="6" t="s">
        <v>334</v>
      </c>
      <c r="AB17" s="6"/>
      <c r="AF17" s="4"/>
      <c r="AH17" s="4"/>
      <c r="AL17" s="4"/>
    </row>
    <row r="18" spans="1:42" ht="91.8" x14ac:dyDescent="0.2">
      <c r="A18" s="2">
        <v>1128</v>
      </c>
      <c r="B18" s="2" t="s">
        <v>229</v>
      </c>
      <c r="C18" s="2" t="s">
        <v>232</v>
      </c>
      <c r="D18" s="2" t="s">
        <v>56</v>
      </c>
      <c r="E18" s="2" t="s">
        <v>233</v>
      </c>
      <c r="F18" s="2">
        <v>8200</v>
      </c>
      <c r="G18" s="2" t="s">
        <v>13</v>
      </c>
      <c r="H18" s="2">
        <v>24887766</v>
      </c>
      <c r="I18" s="2" t="s">
        <v>14</v>
      </c>
      <c r="J18" s="6" t="s">
        <v>333</v>
      </c>
      <c r="K18" s="6" t="s">
        <v>328</v>
      </c>
      <c r="L18" s="6" t="str">
        <f t="shared" si="5"/>
        <v>Byggeprojekt (NNC)</v>
      </c>
      <c r="M18" s="8" t="s">
        <v>330</v>
      </c>
      <c r="N18" s="6" t="str">
        <f t="shared" si="6"/>
        <v>GENANVENDELSE</v>
      </c>
      <c r="O18" s="8" t="s">
        <v>331</v>
      </c>
      <c r="P18" s="6" t="str">
        <f t="shared" si="7"/>
        <v>Byggeprojekt (NNC)</v>
      </c>
      <c r="Q18" s="8" t="s">
        <v>329</v>
      </c>
      <c r="R18" s="6" t="str">
        <f t="shared" si="8"/>
        <v>Hedeager 5</v>
      </c>
      <c r="S18" s="8" t="s">
        <v>324</v>
      </c>
      <c r="T18" s="8">
        <f t="shared" si="9"/>
        <v>8200</v>
      </c>
      <c r="U18" s="8" t="s">
        <v>325</v>
      </c>
      <c r="V18" s="8" t="str">
        <f t="shared" si="10"/>
        <v>Aarhus N</v>
      </c>
      <c r="W18" s="8" t="s">
        <v>329</v>
      </c>
      <c r="X18" s="8" t="str">
        <f t="shared" si="11"/>
        <v>9t Skejby, Aarhus Jorder</v>
      </c>
      <c r="Y18" s="8" t="s">
        <v>332</v>
      </c>
      <c r="Z18" s="8" t="str">
        <f t="shared" si="12"/>
        <v>Ja</v>
      </c>
      <c r="AA18" s="6" t="s">
        <v>334</v>
      </c>
      <c r="AB18" s="7"/>
      <c r="AD18" t="s">
        <v>322</v>
      </c>
      <c r="AE18" t="str">
        <f>B18</f>
        <v>Byggeprojekt (NNC)</v>
      </c>
      <c r="AF18" s="4" t="s">
        <v>323</v>
      </c>
      <c r="AG18" t="str">
        <f>E18</f>
        <v>Hedeager 5</v>
      </c>
      <c r="AH18" s="4" t="s">
        <v>324</v>
      </c>
      <c r="AI18">
        <f>F18</f>
        <v>8200</v>
      </c>
      <c r="AJ18" t="s">
        <v>325</v>
      </c>
      <c r="AK18" t="str">
        <f>G18</f>
        <v>Aarhus N</v>
      </c>
      <c r="AL18" s="4" t="s">
        <v>324</v>
      </c>
      <c r="AM18">
        <f>H18</f>
        <v>24887766</v>
      </c>
      <c r="AN18" t="s">
        <v>326</v>
      </c>
      <c r="AO18">
        <v>1</v>
      </c>
      <c r="AP18" t="s">
        <v>327</v>
      </c>
    </row>
    <row r="19" spans="1:42" ht="91.8" x14ac:dyDescent="0.2">
      <c r="A19" s="3">
        <v>1406</v>
      </c>
      <c r="B19" s="3" t="s">
        <v>270</v>
      </c>
      <c r="C19" s="3"/>
      <c r="D19" s="3" t="s">
        <v>33</v>
      </c>
      <c r="E19" s="3" t="s">
        <v>271</v>
      </c>
      <c r="F19" s="3">
        <v>8240</v>
      </c>
      <c r="G19" s="3" t="s">
        <v>156</v>
      </c>
      <c r="H19" s="3">
        <v>21601642</v>
      </c>
      <c r="I19" s="3" t="s">
        <v>14</v>
      </c>
      <c r="J19" s="6" t="s">
        <v>333</v>
      </c>
      <c r="K19" s="6" t="s">
        <v>328</v>
      </c>
      <c r="L19" s="6" t="str">
        <f t="shared" si="5"/>
        <v>Danjord internt oplag</v>
      </c>
      <c r="M19" s="8" t="s">
        <v>330</v>
      </c>
      <c r="N19" s="6" t="str">
        <f t="shared" si="6"/>
        <v>JORDTIP</v>
      </c>
      <c r="O19" s="8" t="s">
        <v>331</v>
      </c>
      <c r="P19" s="6" t="str">
        <f t="shared" si="7"/>
        <v>Danjord internt oplag</v>
      </c>
      <c r="Q19" s="8" t="s">
        <v>329</v>
      </c>
      <c r="R19" s="6" t="str">
        <f t="shared" si="8"/>
        <v>Norddigevej 8</v>
      </c>
      <c r="S19" s="8" t="s">
        <v>324</v>
      </c>
      <c r="T19" s="8">
        <f t="shared" si="9"/>
        <v>8240</v>
      </c>
      <c r="U19" s="8" t="s">
        <v>325</v>
      </c>
      <c r="V19" s="8" t="str">
        <f t="shared" si="10"/>
        <v>Risskov</v>
      </c>
      <c r="W19" s="8" t="s">
        <v>329</v>
      </c>
      <c r="X19" s="8">
        <f t="shared" si="11"/>
        <v>0</v>
      </c>
      <c r="Y19" s="8" t="s">
        <v>332</v>
      </c>
      <c r="Z19" s="8" t="str">
        <f t="shared" si="12"/>
        <v>Ja</v>
      </c>
      <c r="AA19" s="6" t="s">
        <v>334</v>
      </c>
      <c r="AB19" s="6"/>
      <c r="AD19" t="s">
        <v>322</v>
      </c>
      <c r="AE19" t="str">
        <f>B19</f>
        <v>Danjord internt oplag</v>
      </c>
      <c r="AF19" s="4" t="s">
        <v>323</v>
      </c>
      <c r="AG19" t="str">
        <f>E19</f>
        <v>Norddigevej 8</v>
      </c>
      <c r="AH19" s="4" t="s">
        <v>324</v>
      </c>
      <c r="AI19">
        <f>F19</f>
        <v>8240</v>
      </c>
      <c r="AJ19" t="s">
        <v>325</v>
      </c>
      <c r="AK19" t="str">
        <f>G19</f>
        <v>Risskov</v>
      </c>
      <c r="AL19" s="4" t="s">
        <v>324</v>
      </c>
      <c r="AM19">
        <f>H19</f>
        <v>21601642</v>
      </c>
      <c r="AN19" t="s">
        <v>326</v>
      </c>
      <c r="AO19">
        <v>1</v>
      </c>
      <c r="AP19" t="s">
        <v>327</v>
      </c>
    </row>
    <row r="20" spans="1:42" ht="91.8" x14ac:dyDescent="0.2">
      <c r="A20" s="2">
        <v>744</v>
      </c>
      <c r="B20" s="2" t="s">
        <v>153</v>
      </c>
      <c r="C20" s="2" t="s">
        <v>154</v>
      </c>
      <c r="D20" s="2" t="s">
        <v>11</v>
      </c>
      <c r="E20" s="2" t="s">
        <v>155</v>
      </c>
      <c r="F20" s="2">
        <v>8240</v>
      </c>
      <c r="G20" s="2" t="s">
        <v>156</v>
      </c>
      <c r="H20" s="2">
        <v>86203372</v>
      </c>
      <c r="I20" s="2" t="s">
        <v>28</v>
      </c>
      <c r="J20" s="6" t="s">
        <v>333</v>
      </c>
      <c r="K20" s="6" t="s">
        <v>328</v>
      </c>
      <c r="L20" s="6" t="str">
        <f t="shared" si="5"/>
        <v>Egå Renseanlæg</v>
      </c>
      <c r="M20" s="8" t="s">
        <v>330</v>
      </c>
      <c r="N20" s="6" t="str">
        <f t="shared" si="6"/>
        <v>MIDLERTIDIG OPLAG</v>
      </c>
      <c r="O20" s="8" t="s">
        <v>331</v>
      </c>
      <c r="P20" s="6" t="str">
        <f t="shared" si="7"/>
        <v>Egå Renseanlæg</v>
      </c>
      <c r="Q20" s="8" t="s">
        <v>329</v>
      </c>
      <c r="R20" s="6" t="str">
        <f t="shared" si="8"/>
        <v>Mosevej 57</v>
      </c>
      <c r="S20" s="8" t="s">
        <v>324</v>
      </c>
      <c r="T20" s="8">
        <f t="shared" si="9"/>
        <v>8240</v>
      </c>
      <c r="U20" s="8" t="s">
        <v>325</v>
      </c>
      <c r="V20" s="8" t="str">
        <f t="shared" si="10"/>
        <v>Risskov</v>
      </c>
      <c r="W20" s="8" t="s">
        <v>329</v>
      </c>
      <c r="X20" s="8" t="str">
        <f t="shared" si="11"/>
        <v>2an Vejlby By, Ellevang</v>
      </c>
      <c r="Y20" s="8" t="s">
        <v>332</v>
      </c>
      <c r="Z20" s="8" t="str">
        <f t="shared" si="12"/>
        <v>Nej</v>
      </c>
      <c r="AA20" s="6" t="s">
        <v>334</v>
      </c>
      <c r="AB20" s="7"/>
      <c r="AD20" t="s">
        <v>322</v>
      </c>
      <c r="AE20" t="str">
        <f>B20</f>
        <v>Egå Renseanlæg</v>
      </c>
      <c r="AF20" s="4" t="s">
        <v>323</v>
      </c>
      <c r="AG20" t="str">
        <f>E20</f>
        <v>Mosevej 57</v>
      </c>
      <c r="AH20" s="4" t="s">
        <v>324</v>
      </c>
      <c r="AI20">
        <f>F20</f>
        <v>8240</v>
      </c>
      <c r="AJ20" t="s">
        <v>325</v>
      </c>
      <c r="AK20" t="str">
        <f>G20</f>
        <v>Risskov</v>
      </c>
      <c r="AL20" s="4" t="s">
        <v>324</v>
      </c>
      <c r="AM20">
        <f>H20</f>
        <v>86203372</v>
      </c>
      <c r="AN20" t="s">
        <v>326</v>
      </c>
      <c r="AO20">
        <v>0</v>
      </c>
      <c r="AP20" t="s">
        <v>327</v>
      </c>
    </row>
    <row r="21" spans="1:42" ht="91.8" x14ac:dyDescent="0.2">
      <c r="A21" s="2">
        <v>1466</v>
      </c>
      <c r="B21" s="2" t="s">
        <v>276</v>
      </c>
      <c r="C21" s="2" t="s">
        <v>277</v>
      </c>
      <c r="D21" s="2" t="s">
        <v>33</v>
      </c>
      <c r="E21" s="2" t="s">
        <v>278</v>
      </c>
      <c r="F21" s="2">
        <v>8380</v>
      </c>
      <c r="G21" s="2" t="s">
        <v>169</v>
      </c>
      <c r="H21" s="2">
        <v>40294042</v>
      </c>
      <c r="I21" s="2" t="s">
        <v>28</v>
      </c>
      <c r="J21" s="6" t="s">
        <v>333</v>
      </c>
      <c r="K21" s="6" t="s">
        <v>328</v>
      </c>
      <c r="L21" s="6" t="str">
        <f t="shared" si="5"/>
        <v>Entreprenør Eberhardt og Jørgensen (751-20417-02)</v>
      </c>
      <c r="M21" s="8" t="s">
        <v>330</v>
      </c>
      <c r="N21" s="6" t="str">
        <f t="shared" si="6"/>
        <v>JORDTIP</v>
      </c>
      <c r="O21" s="8" t="s">
        <v>331</v>
      </c>
      <c r="P21" s="6" t="str">
        <f t="shared" si="7"/>
        <v>Entreprenør Eberhardt og Jørgensen (751-20417-02)</v>
      </c>
      <c r="Q21" s="8" t="s">
        <v>329</v>
      </c>
      <c r="R21" s="6" t="str">
        <f t="shared" si="8"/>
        <v>Pannerupvej 20, Elev (aktiv mindre jordtip)</v>
      </c>
      <c r="S21" s="8" t="s">
        <v>324</v>
      </c>
      <c r="T21" s="8">
        <f t="shared" si="9"/>
        <v>8380</v>
      </c>
      <c r="U21" s="8" t="s">
        <v>325</v>
      </c>
      <c r="V21" s="8" t="str">
        <f t="shared" si="10"/>
        <v>Trige</v>
      </c>
      <c r="W21" s="8" t="s">
        <v>329</v>
      </c>
      <c r="X21" s="8" t="str">
        <f t="shared" si="11"/>
        <v>7be Trige By, Trige</v>
      </c>
      <c r="Y21" s="8" t="s">
        <v>332</v>
      </c>
      <c r="Z21" s="8" t="str">
        <f t="shared" si="12"/>
        <v>Nej</v>
      </c>
      <c r="AA21" s="6" t="s">
        <v>334</v>
      </c>
      <c r="AB21" s="7"/>
      <c r="AF21" s="4"/>
      <c r="AH21" s="4"/>
      <c r="AL21" s="4"/>
    </row>
    <row r="22" spans="1:42" ht="91.8" x14ac:dyDescent="0.2">
      <c r="A22" s="3">
        <v>1494</v>
      </c>
      <c r="B22" s="3" t="s">
        <v>290</v>
      </c>
      <c r="C22" s="3" t="s">
        <v>291</v>
      </c>
      <c r="D22" s="3" t="s">
        <v>51</v>
      </c>
      <c r="E22" s="3" t="s">
        <v>292</v>
      </c>
      <c r="F22" s="3">
        <v>8380</v>
      </c>
      <c r="G22" s="3" t="s">
        <v>169</v>
      </c>
      <c r="H22" s="3">
        <v>40294042</v>
      </c>
      <c r="I22" s="3" t="s">
        <v>14</v>
      </c>
      <c r="J22" s="6" t="s">
        <v>333</v>
      </c>
      <c r="K22" s="6" t="s">
        <v>328</v>
      </c>
      <c r="L22" s="6" t="str">
        <f t="shared" si="5"/>
        <v>Entreprenør Eberhardt og Jørgensen (751-21042-00)</v>
      </c>
      <c r="M22" s="8" t="s">
        <v>330</v>
      </c>
      <c r="N22" s="6" t="str">
        <f t="shared" si="6"/>
        <v>RENJORDSTIP</v>
      </c>
      <c r="O22" s="8" t="s">
        <v>331</v>
      </c>
      <c r="P22" s="6" t="str">
        <f t="shared" si="7"/>
        <v>Entreprenør Eberhardt og Jørgensen (751-21042-00)</v>
      </c>
      <c r="Q22" s="8" t="s">
        <v>329</v>
      </c>
      <c r="R22" s="6" t="str">
        <f t="shared" si="8"/>
        <v>Erbækvej 1 (aktiv mindre jordtip)</v>
      </c>
      <c r="S22" s="8" t="s">
        <v>324</v>
      </c>
      <c r="T22" s="8">
        <f t="shared" si="9"/>
        <v>8380</v>
      </c>
      <c r="U22" s="8" t="s">
        <v>325</v>
      </c>
      <c r="V22" s="8" t="str">
        <f t="shared" si="10"/>
        <v>Trige</v>
      </c>
      <c r="W22" s="8" t="s">
        <v>329</v>
      </c>
      <c r="X22" s="8" t="str">
        <f t="shared" si="11"/>
        <v>31a trige By, Trige</v>
      </c>
      <c r="Y22" s="8" t="s">
        <v>332</v>
      </c>
      <c r="Z22" s="8" t="str">
        <f t="shared" si="12"/>
        <v>Ja</v>
      </c>
      <c r="AA22" s="6" t="s">
        <v>334</v>
      </c>
      <c r="AB22" s="6"/>
      <c r="AD22" t="s">
        <v>322</v>
      </c>
      <c r="AE22" t="str">
        <f>B22</f>
        <v>Entreprenør Eberhardt og Jørgensen (751-21042-00)</v>
      </c>
      <c r="AF22" s="4" t="s">
        <v>323</v>
      </c>
      <c r="AG22" t="str">
        <f>E22</f>
        <v>Erbækvej 1 (aktiv mindre jordtip)</v>
      </c>
      <c r="AH22" s="4" t="s">
        <v>324</v>
      </c>
      <c r="AI22">
        <f>F22</f>
        <v>8380</v>
      </c>
      <c r="AJ22" t="s">
        <v>325</v>
      </c>
      <c r="AK22" t="str">
        <f>G22</f>
        <v>Trige</v>
      </c>
      <c r="AL22" s="4" t="s">
        <v>324</v>
      </c>
      <c r="AM22">
        <f>H22</f>
        <v>40294042</v>
      </c>
      <c r="AN22" t="s">
        <v>326</v>
      </c>
      <c r="AO22">
        <v>1</v>
      </c>
      <c r="AP22" t="s">
        <v>327</v>
      </c>
    </row>
    <row r="23" spans="1:42" ht="91.8" x14ac:dyDescent="0.2">
      <c r="A23" s="3">
        <v>122</v>
      </c>
      <c r="B23" s="3" t="s">
        <v>53</v>
      </c>
      <c r="C23" s="3"/>
      <c r="D23" s="3" t="s">
        <v>11</v>
      </c>
      <c r="E23" s="3" t="s">
        <v>54</v>
      </c>
      <c r="F23" s="3">
        <v>8260</v>
      </c>
      <c r="G23" s="3" t="s">
        <v>46</v>
      </c>
      <c r="H23" s="3">
        <v>99999999</v>
      </c>
      <c r="I23" s="3" t="s">
        <v>14</v>
      </c>
      <c r="J23" s="6" t="s">
        <v>333</v>
      </c>
      <c r="K23" s="6" t="s">
        <v>328</v>
      </c>
      <c r="L23" s="6" t="str">
        <f t="shared" si="5"/>
        <v>Eskelund</v>
      </c>
      <c r="M23" s="8" t="s">
        <v>330</v>
      </c>
      <c r="N23" s="6" t="str">
        <f t="shared" si="6"/>
        <v>MIDLERTIDIG OPLAG</v>
      </c>
      <c r="O23" s="8" t="s">
        <v>331</v>
      </c>
      <c r="P23" s="6" t="str">
        <f t="shared" si="7"/>
        <v>Eskelund</v>
      </c>
      <c r="Q23" s="8" t="s">
        <v>329</v>
      </c>
      <c r="R23" s="6" t="str">
        <f t="shared" si="8"/>
        <v>Eskelundvej</v>
      </c>
      <c r="S23" s="8" t="s">
        <v>324</v>
      </c>
      <c r="T23" s="8">
        <f t="shared" si="9"/>
        <v>8260</v>
      </c>
      <c r="U23" s="8" t="s">
        <v>325</v>
      </c>
      <c r="V23" s="8" t="str">
        <f t="shared" si="10"/>
        <v>Viby J</v>
      </c>
      <c r="W23" s="8" t="s">
        <v>329</v>
      </c>
      <c r="X23" s="8">
        <f t="shared" si="11"/>
        <v>0</v>
      </c>
      <c r="Y23" s="8" t="s">
        <v>332</v>
      </c>
      <c r="Z23" s="8" t="str">
        <f t="shared" si="12"/>
        <v>Ja</v>
      </c>
      <c r="AA23" s="6" t="s">
        <v>334</v>
      </c>
      <c r="AB23" s="6"/>
      <c r="AD23" t="s">
        <v>322</v>
      </c>
      <c r="AE23" t="str">
        <f>B23</f>
        <v>Eskelund</v>
      </c>
      <c r="AF23" s="4" t="s">
        <v>323</v>
      </c>
      <c r="AG23" t="str">
        <f>E23</f>
        <v>Eskelundvej</v>
      </c>
      <c r="AH23" s="4" t="s">
        <v>324</v>
      </c>
      <c r="AI23">
        <f>F23</f>
        <v>8260</v>
      </c>
      <c r="AJ23" t="s">
        <v>325</v>
      </c>
      <c r="AK23" t="str">
        <f>G23</f>
        <v>Viby J</v>
      </c>
      <c r="AL23" s="4" t="s">
        <v>324</v>
      </c>
      <c r="AM23">
        <f>H23</f>
        <v>99999999</v>
      </c>
      <c r="AN23" t="s">
        <v>326</v>
      </c>
      <c r="AO23">
        <v>1</v>
      </c>
      <c r="AP23" t="s">
        <v>327</v>
      </c>
    </row>
    <row r="24" spans="1:42" ht="91.8" x14ac:dyDescent="0.2">
      <c r="A24" s="2">
        <v>1426</v>
      </c>
      <c r="B24" s="2" t="s">
        <v>272</v>
      </c>
      <c r="C24" s="2" t="s">
        <v>273</v>
      </c>
      <c r="D24" s="2" t="s">
        <v>56</v>
      </c>
      <c r="E24" s="2" t="s">
        <v>274</v>
      </c>
      <c r="F24" s="2">
        <v>8260</v>
      </c>
      <c r="G24" s="2" t="s">
        <v>46</v>
      </c>
      <c r="H24" s="2">
        <v>40144875</v>
      </c>
      <c r="I24" s="2" t="s">
        <v>28</v>
      </c>
      <c r="J24" s="6" t="s">
        <v>333</v>
      </c>
      <c r="K24" s="6" t="s">
        <v>328</v>
      </c>
      <c r="L24" s="6" t="str">
        <f t="shared" si="5"/>
        <v>Eskelundvej/Åhavevejprojektet</v>
      </c>
      <c r="M24" s="8" t="s">
        <v>330</v>
      </c>
      <c r="N24" s="6" t="str">
        <f t="shared" si="6"/>
        <v>GENANVENDELSE</v>
      </c>
      <c r="O24" s="8" t="s">
        <v>331</v>
      </c>
      <c r="P24" s="6" t="str">
        <f t="shared" si="7"/>
        <v>Eskelundvej/Åhavevejprojektet</v>
      </c>
      <c r="Q24" s="8" t="s">
        <v>329</v>
      </c>
      <c r="R24" s="6" t="str">
        <f t="shared" si="8"/>
        <v>Eskelundvej 3</v>
      </c>
      <c r="S24" s="8" t="s">
        <v>324</v>
      </c>
      <c r="T24" s="8">
        <f t="shared" si="9"/>
        <v>8260</v>
      </c>
      <c r="U24" s="8" t="s">
        <v>325</v>
      </c>
      <c r="V24" s="8" t="str">
        <f t="shared" si="10"/>
        <v>Viby J</v>
      </c>
      <c r="W24" s="8" t="s">
        <v>329</v>
      </c>
      <c r="X24" s="8" t="str">
        <f t="shared" si="11"/>
        <v>15l Viby By, Viby</v>
      </c>
      <c r="Y24" s="8" t="s">
        <v>332</v>
      </c>
      <c r="Z24" s="8" t="str">
        <f t="shared" si="12"/>
        <v>Nej</v>
      </c>
      <c r="AA24" s="6" t="s">
        <v>334</v>
      </c>
      <c r="AB24" s="7"/>
      <c r="AF24" s="4"/>
      <c r="AH24" s="4"/>
      <c r="AL24" s="4"/>
    </row>
    <row r="25" spans="1:42" ht="91.8" x14ac:dyDescent="0.2">
      <c r="A25" s="3">
        <v>764</v>
      </c>
      <c r="B25" s="3" t="s">
        <v>157</v>
      </c>
      <c r="C25" s="3"/>
      <c r="D25" s="3" t="s">
        <v>51</v>
      </c>
      <c r="E25" s="3" t="s">
        <v>158</v>
      </c>
      <c r="F25" s="3">
        <v>8444</v>
      </c>
      <c r="G25" s="3" t="s">
        <v>19</v>
      </c>
      <c r="H25" s="3">
        <v>86320200</v>
      </c>
      <c r="I25" s="3" t="s">
        <v>14</v>
      </c>
      <c r="J25" s="6" t="s">
        <v>333</v>
      </c>
      <c r="K25" s="6" t="s">
        <v>328</v>
      </c>
      <c r="L25" s="6" t="str">
        <f t="shared" si="5"/>
        <v>Gert Svith</v>
      </c>
      <c r="M25" s="8" t="s">
        <v>330</v>
      </c>
      <c r="N25" s="6" t="str">
        <f t="shared" si="6"/>
        <v>RENJORDSTIP</v>
      </c>
      <c r="O25" s="8" t="s">
        <v>331</v>
      </c>
      <c r="P25" s="6" t="str">
        <f t="shared" si="7"/>
        <v>Gert Svith</v>
      </c>
      <c r="Q25" s="8" t="s">
        <v>329</v>
      </c>
      <c r="R25" s="6" t="str">
        <f t="shared" si="8"/>
        <v>Nyballevej 6</v>
      </c>
      <c r="S25" s="8" t="s">
        <v>324</v>
      </c>
      <c r="T25" s="8">
        <f t="shared" si="9"/>
        <v>8444</v>
      </c>
      <c r="U25" s="8" t="s">
        <v>325</v>
      </c>
      <c r="V25" s="8" t="str">
        <f t="shared" si="10"/>
        <v>Balle</v>
      </c>
      <c r="W25" s="8" t="s">
        <v>329</v>
      </c>
      <c r="X25" s="8">
        <f t="shared" si="11"/>
        <v>0</v>
      </c>
      <c r="Y25" s="8" t="s">
        <v>332</v>
      </c>
      <c r="Z25" s="8" t="str">
        <f t="shared" si="12"/>
        <v>Ja</v>
      </c>
      <c r="AA25" s="6" t="s">
        <v>334</v>
      </c>
      <c r="AB25" s="6"/>
      <c r="AD25" t="s">
        <v>322</v>
      </c>
      <c r="AE25" t="str">
        <f>B25</f>
        <v>Gert Svith</v>
      </c>
      <c r="AF25" s="4" t="s">
        <v>323</v>
      </c>
      <c r="AG25" t="str">
        <f>E25</f>
        <v>Nyballevej 6</v>
      </c>
      <c r="AH25" s="4" t="s">
        <v>324</v>
      </c>
      <c r="AI25">
        <f>F25</f>
        <v>8444</v>
      </c>
      <c r="AJ25" t="s">
        <v>325</v>
      </c>
      <c r="AK25" t="str">
        <f>G25</f>
        <v>Balle</v>
      </c>
      <c r="AL25" s="4" t="s">
        <v>324</v>
      </c>
      <c r="AM25">
        <f>H25</f>
        <v>86320200</v>
      </c>
      <c r="AN25" t="s">
        <v>326</v>
      </c>
      <c r="AO25">
        <v>1</v>
      </c>
      <c r="AP25" t="s">
        <v>327</v>
      </c>
    </row>
    <row r="26" spans="1:42" ht="91.8" x14ac:dyDescent="0.2">
      <c r="A26" s="2">
        <v>766</v>
      </c>
      <c r="B26" s="2" t="s">
        <v>157</v>
      </c>
      <c r="C26" s="2"/>
      <c r="D26" s="2" t="s">
        <v>51</v>
      </c>
      <c r="E26" s="2" t="s">
        <v>159</v>
      </c>
      <c r="F26" s="2">
        <v>8444</v>
      </c>
      <c r="G26" s="2" t="s">
        <v>19</v>
      </c>
      <c r="H26" s="2">
        <v>86320200</v>
      </c>
      <c r="I26" s="2" t="s">
        <v>14</v>
      </c>
      <c r="J26" s="6" t="s">
        <v>333</v>
      </c>
      <c r="K26" s="6" t="s">
        <v>328</v>
      </c>
      <c r="L26" s="6" t="str">
        <f t="shared" si="5"/>
        <v>Gert Svith</v>
      </c>
      <c r="M26" s="8" t="s">
        <v>330</v>
      </c>
      <c r="N26" s="6" t="str">
        <f t="shared" si="6"/>
        <v>RENJORDSTIP</v>
      </c>
      <c r="O26" s="8" t="s">
        <v>331</v>
      </c>
      <c r="P26" s="6" t="str">
        <f t="shared" si="7"/>
        <v>Gert Svith</v>
      </c>
      <c r="Q26" s="8" t="s">
        <v>329</v>
      </c>
      <c r="R26" s="6" t="str">
        <f t="shared" si="8"/>
        <v>Rugårdsvej 18</v>
      </c>
      <c r="S26" s="8" t="s">
        <v>324</v>
      </c>
      <c r="T26" s="8">
        <f t="shared" si="9"/>
        <v>8444</v>
      </c>
      <c r="U26" s="8" t="s">
        <v>325</v>
      </c>
      <c r="V26" s="8" t="str">
        <f t="shared" si="10"/>
        <v>Balle</v>
      </c>
      <c r="W26" s="8" t="s">
        <v>329</v>
      </c>
      <c r="X26" s="8">
        <f t="shared" si="11"/>
        <v>0</v>
      </c>
      <c r="Y26" s="8" t="s">
        <v>332</v>
      </c>
      <c r="Z26" s="8" t="str">
        <f t="shared" si="12"/>
        <v>Ja</v>
      </c>
      <c r="AA26" s="6" t="s">
        <v>334</v>
      </c>
      <c r="AB26" s="7"/>
      <c r="AF26" s="4"/>
      <c r="AH26" s="4"/>
      <c r="AL26" s="4"/>
    </row>
    <row r="27" spans="1:42" ht="91.8" x14ac:dyDescent="0.2">
      <c r="A27" s="2">
        <v>246</v>
      </c>
      <c r="B27" s="2" t="s">
        <v>73</v>
      </c>
      <c r="C27" s="2"/>
      <c r="D27" s="2" t="s">
        <v>17</v>
      </c>
      <c r="E27" s="2" t="s">
        <v>74</v>
      </c>
      <c r="F27" s="2">
        <v>6650</v>
      </c>
      <c r="G27" s="2" t="s">
        <v>75</v>
      </c>
      <c r="H27" s="2">
        <v>75360743</v>
      </c>
      <c r="I27" s="2" t="s">
        <v>14</v>
      </c>
      <c r="J27" s="6" t="s">
        <v>333</v>
      </c>
      <c r="K27" s="6" t="s">
        <v>328</v>
      </c>
      <c r="L27" s="6" t="str">
        <f t="shared" si="5"/>
        <v>Green Soil A/S</v>
      </c>
      <c r="M27" s="8" t="s">
        <v>330</v>
      </c>
      <c r="N27" s="6" t="str">
        <f t="shared" si="6"/>
        <v>JORDRENSNING</v>
      </c>
      <c r="O27" s="8" t="s">
        <v>331</v>
      </c>
      <c r="P27" s="6" t="str">
        <f t="shared" si="7"/>
        <v>Green Soil A/S</v>
      </c>
      <c r="Q27" s="8" t="s">
        <v>329</v>
      </c>
      <c r="R27" s="6" t="str">
        <f t="shared" si="8"/>
        <v>Foldingbrovej 46 A</v>
      </c>
      <c r="S27" s="8" t="s">
        <v>324</v>
      </c>
      <c r="T27" s="8">
        <f t="shared" si="9"/>
        <v>6650</v>
      </c>
      <c r="U27" s="8" t="s">
        <v>325</v>
      </c>
      <c r="V27" s="8" t="str">
        <f t="shared" si="10"/>
        <v>Brørup</v>
      </c>
      <c r="W27" s="8" t="s">
        <v>329</v>
      </c>
      <c r="X27" s="8">
        <f t="shared" si="11"/>
        <v>0</v>
      </c>
      <c r="Y27" s="8" t="s">
        <v>332</v>
      </c>
      <c r="Z27" s="8" t="str">
        <f t="shared" si="12"/>
        <v>Ja</v>
      </c>
      <c r="AA27" s="6" t="s">
        <v>334</v>
      </c>
      <c r="AB27" s="7"/>
      <c r="AD27" t="s">
        <v>322</v>
      </c>
      <c r="AE27" t="str">
        <f>B27</f>
        <v>Green Soil A/S</v>
      </c>
      <c r="AF27" s="4" t="s">
        <v>323</v>
      </c>
      <c r="AG27" t="str">
        <f>E27</f>
        <v>Foldingbrovej 46 A</v>
      </c>
      <c r="AH27" s="4" t="s">
        <v>324</v>
      </c>
      <c r="AI27">
        <f>F27</f>
        <v>6650</v>
      </c>
      <c r="AJ27" t="s">
        <v>325</v>
      </c>
      <c r="AK27" t="str">
        <f>G27</f>
        <v>Brørup</v>
      </c>
      <c r="AL27" s="4" t="s">
        <v>324</v>
      </c>
      <c r="AM27">
        <f>H27</f>
        <v>75360743</v>
      </c>
      <c r="AN27" t="s">
        <v>326</v>
      </c>
      <c r="AO27">
        <v>1</v>
      </c>
      <c r="AP27" t="s">
        <v>327</v>
      </c>
    </row>
    <row r="28" spans="1:42" ht="91.8" x14ac:dyDescent="0.2">
      <c r="A28" s="2">
        <v>324</v>
      </c>
      <c r="B28" s="2" t="s">
        <v>87</v>
      </c>
      <c r="C28" s="2"/>
      <c r="D28" s="2" t="s">
        <v>51</v>
      </c>
      <c r="E28" s="2" t="s">
        <v>88</v>
      </c>
      <c r="F28" s="2">
        <v>8382</v>
      </c>
      <c r="G28" s="2" t="s">
        <v>89</v>
      </c>
      <c r="H28" s="2">
        <v>40286860</v>
      </c>
      <c r="I28" s="2" t="s">
        <v>14</v>
      </c>
      <c r="J28" s="6" t="s">
        <v>333</v>
      </c>
      <c r="K28" s="6" t="s">
        <v>328</v>
      </c>
      <c r="L28" s="6" t="str">
        <f t="shared" si="5"/>
        <v>Haldum Jordtip</v>
      </c>
      <c r="M28" s="8" t="s">
        <v>330</v>
      </c>
      <c r="N28" s="6" t="str">
        <f t="shared" si="6"/>
        <v>RENJORDSTIP</v>
      </c>
      <c r="O28" s="8" t="s">
        <v>331</v>
      </c>
      <c r="P28" s="6" t="str">
        <f t="shared" si="7"/>
        <v>Haldum Jordtip</v>
      </c>
      <c r="Q28" s="8" t="s">
        <v>329</v>
      </c>
      <c r="R28" s="6" t="str">
        <f t="shared" si="8"/>
        <v>Århusvej</v>
      </c>
      <c r="S28" s="8" t="s">
        <v>324</v>
      </c>
      <c r="T28" s="8">
        <f t="shared" si="9"/>
        <v>8382</v>
      </c>
      <c r="U28" s="8" t="s">
        <v>325</v>
      </c>
      <c r="V28" s="8" t="str">
        <f t="shared" si="10"/>
        <v>Hinnerup</v>
      </c>
      <c r="W28" s="8" t="s">
        <v>329</v>
      </c>
      <c r="X28" s="8">
        <f t="shared" si="11"/>
        <v>0</v>
      </c>
      <c r="Y28" s="8" t="s">
        <v>332</v>
      </c>
      <c r="Z28" s="8" t="str">
        <f t="shared" si="12"/>
        <v>Ja</v>
      </c>
      <c r="AA28" s="6" t="s">
        <v>334</v>
      </c>
      <c r="AB28" s="7"/>
      <c r="AD28" t="s">
        <v>322</v>
      </c>
      <c r="AE28" t="str">
        <f>B28</f>
        <v>Haldum Jordtip</v>
      </c>
      <c r="AF28" s="4" t="s">
        <v>323</v>
      </c>
      <c r="AG28" t="str">
        <f>E28</f>
        <v>Århusvej</v>
      </c>
      <c r="AH28" s="4" t="s">
        <v>324</v>
      </c>
      <c r="AI28">
        <f>F28</f>
        <v>8382</v>
      </c>
      <c r="AJ28" t="s">
        <v>325</v>
      </c>
      <c r="AK28" t="str">
        <f>G28</f>
        <v>Hinnerup</v>
      </c>
      <c r="AL28" s="4" t="s">
        <v>324</v>
      </c>
      <c r="AM28">
        <f>H28</f>
        <v>40286860</v>
      </c>
      <c r="AN28" t="s">
        <v>326</v>
      </c>
      <c r="AO28">
        <v>1</v>
      </c>
      <c r="AP28" t="s">
        <v>327</v>
      </c>
    </row>
    <row r="29" spans="1:42" ht="91.8" x14ac:dyDescent="0.2">
      <c r="A29" s="3">
        <v>59</v>
      </c>
      <c r="B29" s="3" t="s">
        <v>36</v>
      </c>
      <c r="C29" s="3"/>
      <c r="D29" s="3" t="s">
        <v>33</v>
      </c>
      <c r="E29" s="3" t="s">
        <v>37</v>
      </c>
      <c r="F29" s="3">
        <v>8210</v>
      </c>
      <c r="G29" s="3" t="s">
        <v>38</v>
      </c>
      <c r="H29" s="3">
        <v>22124423</v>
      </c>
      <c r="I29" s="3" t="s">
        <v>28</v>
      </c>
      <c r="J29" s="6" t="s">
        <v>333</v>
      </c>
      <c r="K29" s="6" t="s">
        <v>328</v>
      </c>
      <c r="L29" s="6" t="str">
        <f t="shared" si="5"/>
        <v>Hasle Bakkelandskab</v>
      </c>
      <c r="M29" s="8" t="s">
        <v>330</v>
      </c>
      <c r="N29" s="6" t="str">
        <f t="shared" si="6"/>
        <v>JORDTIP</v>
      </c>
      <c r="O29" s="8" t="s">
        <v>331</v>
      </c>
      <c r="P29" s="6" t="str">
        <f t="shared" si="7"/>
        <v>Hasle Bakkelandskab</v>
      </c>
      <c r="Q29" s="8" t="s">
        <v>329</v>
      </c>
      <c r="R29" s="6" t="str">
        <f t="shared" si="8"/>
        <v>Edwin Rahrs Vej</v>
      </c>
      <c r="S29" s="8" t="s">
        <v>324</v>
      </c>
      <c r="T29" s="8">
        <f t="shared" si="9"/>
        <v>8210</v>
      </c>
      <c r="U29" s="8" t="s">
        <v>325</v>
      </c>
      <c r="V29" s="8" t="str">
        <f t="shared" si="10"/>
        <v>Aarhus V</v>
      </c>
      <c r="W29" s="8" t="s">
        <v>329</v>
      </c>
      <c r="X29" s="8">
        <f t="shared" si="11"/>
        <v>0</v>
      </c>
      <c r="Y29" s="8" t="s">
        <v>332</v>
      </c>
      <c r="Z29" s="8" t="str">
        <f t="shared" si="12"/>
        <v>Nej</v>
      </c>
      <c r="AA29" s="6" t="s">
        <v>334</v>
      </c>
      <c r="AB29" s="6"/>
      <c r="AD29" t="s">
        <v>322</v>
      </c>
      <c r="AE29" t="str">
        <f>B29</f>
        <v>Hasle Bakkelandskab</v>
      </c>
      <c r="AF29" s="4" t="s">
        <v>323</v>
      </c>
      <c r="AG29" t="str">
        <f>E29</f>
        <v>Edwin Rahrs Vej</v>
      </c>
      <c r="AH29" s="4" t="s">
        <v>324</v>
      </c>
      <c r="AI29">
        <f>F29</f>
        <v>8210</v>
      </c>
      <c r="AJ29" t="s">
        <v>325</v>
      </c>
      <c r="AK29" t="str">
        <f>G29</f>
        <v>Aarhus V</v>
      </c>
      <c r="AL29" s="4" t="s">
        <v>324</v>
      </c>
      <c r="AM29">
        <f>H29</f>
        <v>22124423</v>
      </c>
      <c r="AN29" t="s">
        <v>326</v>
      </c>
      <c r="AO29">
        <v>0</v>
      </c>
      <c r="AP29" t="s">
        <v>327</v>
      </c>
    </row>
    <row r="30" spans="1:42" ht="91.8" x14ac:dyDescent="0.2">
      <c r="A30" s="2">
        <v>544</v>
      </c>
      <c r="B30" s="2" t="s">
        <v>118</v>
      </c>
      <c r="C30" s="2" t="s">
        <v>119</v>
      </c>
      <c r="D30" s="2" t="s">
        <v>11</v>
      </c>
      <c r="E30" s="2" t="s">
        <v>120</v>
      </c>
      <c r="F30" s="2">
        <v>8361</v>
      </c>
      <c r="G30" s="2" t="s">
        <v>121</v>
      </c>
      <c r="H30" s="2">
        <v>0</v>
      </c>
      <c r="I30" s="2" t="s">
        <v>28</v>
      </c>
      <c r="J30" s="6" t="s">
        <v>333</v>
      </c>
      <c r="K30" s="6" t="s">
        <v>328</v>
      </c>
      <c r="L30" s="6" t="str">
        <f t="shared" si="5"/>
        <v>Hasselager Station</v>
      </c>
      <c r="M30" s="8" t="s">
        <v>330</v>
      </c>
      <c r="N30" s="6" t="str">
        <f t="shared" si="6"/>
        <v>MIDLERTIDIG OPLAG</v>
      </c>
      <c r="O30" s="8" t="s">
        <v>331</v>
      </c>
      <c r="P30" s="6" t="str">
        <f t="shared" si="7"/>
        <v>Hasselager Station</v>
      </c>
      <c r="Q30" s="8" t="s">
        <v>329</v>
      </c>
      <c r="R30" s="6" t="str">
        <f t="shared" si="8"/>
        <v>Banegårdspladsen 950</v>
      </c>
      <c r="S30" s="8" t="s">
        <v>324</v>
      </c>
      <c r="T30" s="8">
        <f t="shared" si="9"/>
        <v>8361</v>
      </c>
      <c r="U30" s="8" t="s">
        <v>325</v>
      </c>
      <c r="V30" s="8" t="str">
        <f t="shared" si="10"/>
        <v>Hasselager</v>
      </c>
      <c r="W30" s="8" t="s">
        <v>329</v>
      </c>
      <c r="X30" s="8" t="str">
        <f t="shared" si="11"/>
        <v>undersøg om sagen er afsluttet</v>
      </c>
      <c r="Y30" s="8" t="s">
        <v>332</v>
      </c>
      <c r="Z30" s="8" t="str">
        <f t="shared" si="12"/>
        <v>Nej</v>
      </c>
      <c r="AA30" s="6" t="s">
        <v>334</v>
      </c>
      <c r="AB30" s="7"/>
      <c r="AD30" t="s">
        <v>322</v>
      </c>
      <c r="AE30" t="str">
        <f>B30</f>
        <v>Hasselager Station</v>
      </c>
      <c r="AF30" s="4" t="s">
        <v>323</v>
      </c>
      <c r="AG30" t="str">
        <f>E30</f>
        <v>Banegårdspladsen 950</v>
      </c>
      <c r="AH30" s="4" t="s">
        <v>324</v>
      </c>
      <c r="AI30">
        <f>F30</f>
        <v>8361</v>
      </c>
      <c r="AJ30" t="s">
        <v>325</v>
      </c>
      <c r="AK30" t="str">
        <f>G30</f>
        <v>Hasselager</v>
      </c>
      <c r="AL30" s="4" t="s">
        <v>324</v>
      </c>
      <c r="AM30">
        <f>H30</f>
        <v>0</v>
      </c>
      <c r="AN30" t="s">
        <v>326</v>
      </c>
      <c r="AO30">
        <v>0</v>
      </c>
      <c r="AP30" t="s">
        <v>327</v>
      </c>
    </row>
    <row r="31" spans="1:42" ht="91.8" x14ac:dyDescent="0.2">
      <c r="A31" s="2">
        <v>364</v>
      </c>
      <c r="B31" s="2" t="s">
        <v>93</v>
      </c>
      <c r="C31" s="2" t="s">
        <v>94</v>
      </c>
      <c r="D31" s="2" t="s">
        <v>51</v>
      </c>
      <c r="E31" s="2" t="s">
        <v>95</v>
      </c>
      <c r="F31" s="2">
        <v>8362</v>
      </c>
      <c r="G31" s="2" t="s">
        <v>96</v>
      </c>
      <c r="H31" s="2">
        <v>99999999</v>
      </c>
      <c r="I31" s="2" t="s">
        <v>14</v>
      </c>
      <c r="J31" s="6" t="s">
        <v>333</v>
      </c>
      <c r="K31" s="6" t="s">
        <v>328</v>
      </c>
      <c r="L31" s="6" t="str">
        <f t="shared" si="5"/>
        <v>Henrik Madsen</v>
      </c>
      <c r="M31" s="8" t="s">
        <v>330</v>
      </c>
      <c r="N31" s="6" t="str">
        <f t="shared" si="6"/>
        <v>RENJORDSTIP</v>
      </c>
      <c r="O31" s="8" t="s">
        <v>331</v>
      </c>
      <c r="P31" s="6" t="str">
        <f t="shared" si="7"/>
        <v>Henrik Madsen</v>
      </c>
      <c r="Q31" s="8" t="s">
        <v>329</v>
      </c>
      <c r="R31" s="6" t="str">
        <f t="shared" si="8"/>
        <v>Gungdyvej 29</v>
      </c>
      <c r="S31" s="8" t="s">
        <v>324</v>
      </c>
      <c r="T31" s="8">
        <f t="shared" si="9"/>
        <v>8362</v>
      </c>
      <c r="U31" s="8" t="s">
        <v>325</v>
      </c>
      <c r="V31" s="8" t="str">
        <f t="shared" si="10"/>
        <v>Hørning</v>
      </c>
      <c r="W31" s="8" t="s">
        <v>329</v>
      </c>
      <c r="X31" s="8" t="str">
        <f t="shared" si="11"/>
        <v>11 d Edslev By, Kolt</v>
      </c>
      <c r="Y31" s="8" t="s">
        <v>332</v>
      </c>
      <c r="Z31" s="8" t="str">
        <f t="shared" si="12"/>
        <v>Ja</v>
      </c>
      <c r="AA31" s="6" t="s">
        <v>334</v>
      </c>
      <c r="AB31" s="7"/>
      <c r="AD31" t="s">
        <v>322</v>
      </c>
      <c r="AE31" t="str">
        <f>B31</f>
        <v>Henrik Madsen</v>
      </c>
      <c r="AF31" s="4" t="s">
        <v>323</v>
      </c>
      <c r="AG31" t="str">
        <f>E31</f>
        <v>Gungdyvej 29</v>
      </c>
      <c r="AH31" s="4" t="s">
        <v>324</v>
      </c>
      <c r="AI31">
        <f>F31</f>
        <v>8362</v>
      </c>
      <c r="AJ31" t="s">
        <v>325</v>
      </c>
      <c r="AK31" t="str">
        <f>G31</f>
        <v>Hørning</v>
      </c>
      <c r="AL31" s="4" t="s">
        <v>324</v>
      </c>
      <c r="AM31">
        <f>H31</f>
        <v>99999999</v>
      </c>
      <c r="AN31" t="s">
        <v>326</v>
      </c>
      <c r="AO31">
        <v>1</v>
      </c>
      <c r="AP31" t="s">
        <v>327</v>
      </c>
    </row>
    <row r="32" spans="1:42" ht="91.8" x14ac:dyDescent="0.2">
      <c r="A32" s="2">
        <v>1488</v>
      </c>
      <c r="B32" s="2" t="s">
        <v>282</v>
      </c>
      <c r="C32" s="2" t="s">
        <v>283</v>
      </c>
      <c r="D32" s="2" t="s">
        <v>33</v>
      </c>
      <c r="E32" s="2" t="s">
        <v>284</v>
      </c>
      <c r="F32" s="2">
        <v>8200</v>
      </c>
      <c r="G32" s="2" t="s">
        <v>13</v>
      </c>
      <c r="H32" s="2">
        <v>26212655</v>
      </c>
      <c r="I32" s="2" t="s">
        <v>28</v>
      </c>
      <c r="J32" s="6" t="s">
        <v>333</v>
      </c>
      <c r="K32" s="6" t="s">
        <v>328</v>
      </c>
      <c r="L32" s="6" t="str">
        <f t="shared" si="5"/>
        <v>Herredsvej - REN GENINDBYGNINGSEGNET JORD</v>
      </c>
      <c r="M32" s="8" t="s">
        <v>330</v>
      </c>
      <c r="N32" s="6" t="str">
        <f t="shared" si="6"/>
        <v>JORDTIP</v>
      </c>
      <c r="O32" s="8" t="s">
        <v>331</v>
      </c>
      <c r="P32" s="6" t="str">
        <f t="shared" si="7"/>
        <v>Herredsvej - REN GENINDBYGNINGSEGNET JORD</v>
      </c>
      <c r="Q32" s="8" t="s">
        <v>329</v>
      </c>
      <c r="R32" s="6" t="str">
        <f t="shared" si="8"/>
        <v>Herredsvej</v>
      </c>
      <c r="S32" s="8" t="s">
        <v>324</v>
      </c>
      <c r="T32" s="8">
        <f t="shared" si="9"/>
        <v>8200</v>
      </c>
      <c r="U32" s="8" t="s">
        <v>325</v>
      </c>
      <c r="V32" s="8" t="str">
        <f t="shared" si="10"/>
        <v>Aarhus N</v>
      </c>
      <c r="W32" s="8" t="s">
        <v>329</v>
      </c>
      <c r="X32" s="8" t="str">
        <f t="shared" si="11"/>
        <v>7a Brendstrup By, Tilst</v>
      </c>
      <c r="Y32" s="8" t="s">
        <v>332</v>
      </c>
      <c r="Z32" s="8" t="str">
        <f t="shared" si="12"/>
        <v>Nej</v>
      </c>
      <c r="AA32" s="6" t="s">
        <v>334</v>
      </c>
      <c r="AB32" s="7"/>
      <c r="AF32" s="4"/>
      <c r="AH32" s="4"/>
      <c r="AL32" s="4"/>
    </row>
    <row r="33" spans="1:42" ht="91.8" x14ac:dyDescent="0.2">
      <c r="A33" s="3">
        <v>1490</v>
      </c>
      <c r="B33" s="3" t="s">
        <v>285</v>
      </c>
      <c r="C33" s="3" t="s">
        <v>286</v>
      </c>
      <c r="D33" s="3" t="s">
        <v>33</v>
      </c>
      <c r="E33" s="3" t="s">
        <v>284</v>
      </c>
      <c r="F33" s="3">
        <v>8200</v>
      </c>
      <c r="G33" s="3" t="s">
        <v>13</v>
      </c>
      <c r="H33" s="3">
        <v>26212655</v>
      </c>
      <c r="I33" s="3" t="s">
        <v>14</v>
      </c>
      <c r="J33" s="6" t="s">
        <v>333</v>
      </c>
      <c r="K33" s="6" t="s">
        <v>328</v>
      </c>
      <c r="L33" s="6" t="str">
        <f t="shared" si="5"/>
        <v>Herredsvej LET FORURENET GENINDBYGNINGSEGNET JORD</v>
      </c>
      <c r="M33" s="8" t="s">
        <v>330</v>
      </c>
      <c r="N33" s="6" t="str">
        <f t="shared" si="6"/>
        <v>JORDTIP</v>
      </c>
      <c r="O33" s="8" t="s">
        <v>331</v>
      </c>
      <c r="P33" s="6" t="str">
        <f t="shared" si="7"/>
        <v>Herredsvej LET FORURENET GENINDBYGNINGSEGNET JORD</v>
      </c>
      <c r="Q33" s="8" t="s">
        <v>329</v>
      </c>
      <c r="R33" s="6" t="str">
        <f t="shared" si="8"/>
        <v>Herredsvej</v>
      </c>
      <c r="S33" s="8" t="s">
        <v>324</v>
      </c>
      <c r="T33" s="8">
        <f t="shared" si="9"/>
        <v>8200</v>
      </c>
      <c r="U33" s="8" t="s">
        <v>325</v>
      </c>
      <c r="V33" s="8" t="str">
        <f t="shared" si="10"/>
        <v>Aarhus N</v>
      </c>
      <c r="W33" s="8" t="s">
        <v>329</v>
      </c>
      <c r="X33" s="8" t="str">
        <f t="shared" si="11"/>
        <v>2e Brendstrup By, Tilst mv</v>
      </c>
      <c r="Y33" s="8" t="s">
        <v>332</v>
      </c>
      <c r="Z33" s="8" t="str">
        <f t="shared" si="12"/>
        <v>Ja</v>
      </c>
      <c r="AA33" s="6" t="s">
        <v>334</v>
      </c>
      <c r="AB33" s="6"/>
      <c r="AD33" t="s">
        <v>322</v>
      </c>
      <c r="AE33" t="str">
        <f t="shared" ref="AE33:AE38" si="13">B33</f>
        <v>Herredsvej LET FORURENET GENINDBYGNINGSEGNET JORD</v>
      </c>
      <c r="AF33" s="4" t="s">
        <v>323</v>
      </c>
      <c r="AG33" t="str">
        <f t="shared" ref="AG33:AG38" si="14">E33</f>
        <v>Herredsvej</v>
      </c>
      <c r="AH33" s="4" t="s">
        <v>324</v>
      </c>
      <c r="AI33">
        <f t="shared" ref="AI33:AI38" si="15">F33</f>
        <v>8200</v>
      </c>
      <c r="AJ33" t="s">
        <v>325</v>
      </c>
      <c r="AK33" t="str">
        <f t="shared" ref="AK33:AK38" si="16">G33</f>
        <v>Aarhus N</v>
      </c>
      <c r="AL33" s="4" t="s">
        <v>324</v>
      </c>
      <c r="AM33">
        <f t="shared" ref="AM33:AM38" si="17">H33</f>
        <v>26212655</v>
      </c>
      <c r="AN33" t="s">
        <v>326</v>
      </c>
      <c r="AO33">
        <v>1</v>
      </c>
      <c r="AP33" t="s">
        <v>327</v>
      </c>
    </row>
    <row r="34" spans="1:42" ht="91.8" x14ac:dyDescent="0.2">
      <c r="A34" s="3">
        <v>126</v>
      </c>
      <c r="B34" s="3" t="s">
        <v>58</v>
      </c>
      <c r="C34" s="3"/>
      <c r="D34" s="3" t="s">
        <v>33</v>
      </c>
      <c r="E34" s="3" t="s">
        <v>59</v>
      </c>
      <c r="F34" s="3">
        <v>8200</v>
      </c>
      <c r="G34" s="3" t="s">
        <v>13</v>
      </c>
      <c r="H34" s="3">
        <v>99999999</v>
      </c>
      <c r="I34" s="3" t="s">
        <v>28</v>
      </c>
      <c r="J34" s="6" t="s">
        <v>333</v>
      </c>
      <c r="K34" s="6" t="s">
        <v>328</v>
      </c>
      <c r="L34" s="6" t="str">
        <f t="shared" si="5"/>
        <v>Hestebjerrefaldet</v>
      </c>
      <c r="M34" s="8" t="s">
        <v>330</v>
      </c>
      <c r="N34" s="6" t="str">
        <f t="shared" si="6"/>
        <v>JORDTIP</v>
      </c>
      <c r="O34" s="8" t="s">
        <v>331</v>
      </c>
      <c r="P34" s="6" t="str">
        <f t="shared" si="7"/>
        <v>Hestebjerrefaldet</v>
      </c>
      <c r="Q34" s="8" t="s">
        <v>329</v>
      </c>
      <c r="R34" s="6" t="str">
        <f t="shared" si="8"/>
        <v>Randersvej 229-231</v>
      </c>
      <c r="S34" s="8" t="s">
        <v>324</v>
      </c>
      <c r="T34" s="8">
        <f t="shared" si="9"/>
        <v>8200</v>
      </c>
      <c r="U34" s="8" t="s">
        <v>325</v>
      </c>
      <c r="V34" s="8" t="str">
        <f t="shared" si="10"/>
        <v>Aarhus N</v>
      </c>
      <c r="W34" s="8" t="s">
        <v>329</v>
      </c>
      <c r="X34" s="8">
        <f t="shared" si="11"/>
        <v>0</v>
      </c>
      <c r="Y34" s="8" t="s">
        <v>332</v>
      </c>
      <c r="Z34" s="8" t="str">
        <f t="shared" si="12"/>
        <v>Nej</v>
      </c>
      <c r="AA34" s="6" t="s">
        <v>334</v>
      </c>
      <c r="AB34" s="6"/>
      <c r="AD34" t="s">
        <v>322</v>
      </c>
      <c r="AE34" t="str">
        <f t="shared" si="13"/>
        <v>Hestebjerrefaldet</v>
      </c>
      <c r="AF34" s="4" t="s">
        <v>323</v>
      </c>
      <c r="AG34" t="str">
        <f t="shared" si="14"/>
        <v>Randersvej 229-231</v>
      </c>
      <c r="AH34" s="4" t="s">
        <v>324</v>
      </c>
      <c r="AI34">
        <f t="shared" si="15"/>
        <v>8200</v>
      </c>
      <c r="AJ34" t="s">
        <v>325</v>
      </c>
      <c r="AK34" t="str">
        <f t="shared" si="16"/>
        <v>Aarhus N</v>
      </c>
      <c r="AL34" s="4" t="s">
        <v>324</v>
      </c>
      <c r="AM34">
        <f t="shared" si="17"/>
        <v>99999999</v>
      </c>
      <c r="AN34" t="s">
        <v>326</v>
      </c>
      <c r="AO34">
        <v>0</v>
      </c>
      <c r="AP34" t="s">
        <v>327</v>
      </c>
    </row>
    <row r="35" spans="1:42" ht="91.8" x14ac:dyDescent="0.2">
      <c r="A35" s="2">
        <v>504</v>
      </c>
      <c r="B35" s="2" t="s">
        <v>113</v>
      </c>
      <c r="C35" s="2" t="s">
        <v>114</v>
      </c>
      <c r="D35" s="2" t="s">
        <v>33</v>
      </c>
      <c r="E35" s="2" t="s">
        <v>115</v>
      </c>
      <c r="F35" s="2">
        <v>8530</v>
      </c>
      <c r="G35" s="2" t="s">
        <v>116</v>
      </c>
      <c r="H35" s="2">
        <v>11111111</v>
      </c>
      <c r="I35" s="2" t="s">
        <v>28</v>
      </c>
      <c r="J35" s="6" t="s">
        <v>333</v>
      </c>
      <c r="K35" s="6" t="s">
        <v>328</v>
      </c>
      <c r="L35" s="6" t="str">
        <f t="shared" si="5"/>
        <v>Hjortshøjvej 100, Knud Nygaard</v>
      </c>
      <c r="M35" s="8" t="s">
        <v>330</v>
      </c>
      <c r="N35" s="6" t="str">
        <f t="shared" si="6"/>
        <v>JORDTIP</v>
      </c>
      <c r="O35" s="8" t="s">
        <v>331</v>
      </c>
      <c r="P35" s="6" t="str">
        <f t="shared" si="7"/>
        <v>Hjortshøjvej 100, Knud Nygaard</v>
      </c>
      <c r="Q35" s="8" t="s">
        <v>329</v>
      </c>
      <c r="R35" s="6" t="str">
        <f t="shared" si="8"/>
        <v>Hjortshøjvej 100</v>
      </c>
      <c r="S35" s="8" t="s">
        <v>324</v>
      </c>
      <c r="T35" s="8">
        <f t="shared" si="9"/>
        <v>8530</v>
      </c>
      <c r="U35" s="8" t="s">
        <v>325</v>
      </c>
      <c r="V35" s="8" t="str">
        <f t="shared" si="10"/>
        <v>Hjortshøj</v>
      </c>
      <c r="W35" s="8" t="s">
        <v>329</v>
      </c>
      <c r="X35" s="8" t="str">
        <f t="shared" si="11"/>
        <v>14b Skæring By, Egå</v>
      </c>
      <c r="Y35" s="8" t="s">
        <v>332</v>
      </c>
      <c r="Z35" s="8" t="str">
        <f t="shared" si="12"/>
        <v>Nej</v>
      </c>
      <c r="AA35" s="6" t="s">
        <v>334</v>
      </c>
      <c r="AB35" s="7"/>
      <c r="AD35" t="s">
        <v>322</v>
      </c>
      <c r="AE35" t="str">
        <f t="shared" si="13"/>
        <v>Hjortshøjvej 100, Knud Nygaard</v>
      </c>
      <c r="AF35" s="4" t="s">
        <v>323</v>
      </c>
      <c r="AG35" t="str">
        <f t="shared" si="14"/>
        <v>Hjortshøjvej 100</v>
      </c>
      <c r="AH35" s="4" t="s">
        <v>324</v>
      </c>
      <c r="AI35">
        <f t="shared" si="15"/>
        <v>8530</v>
      </c>
      <c r="AJ35" t="s">
        <v>325</v>
      </c>
      <c r="AK35" t="str">
        <f t="shared" si="16"/>
        <v>Hjortshøj</v>
      </c>
      <c r="AL35" s="4" t="s">
        <v>324</v>
      </c>
      <c r="AM35">
        <f t="shared" si="17"/>
        <v>11111111</v>
      </c>
      <c r="AN35" t="s">
        <v>326</v>
      </c>
      <c r="AO35">
        <v>0</v>
      </c>
      <c r="AP35" t="s">
        <v>327</v>
      </c>
    </row>
    <row r="36" spans="1:42" ht="91.8" x14ac:dyDescent="0.2">
      <c r="A36" s="2">
        <v>1496</v>
      </c>
      <c r="B36" s="2" t="s">
        <v>293</v>
      </c>
      <c r="C36" s="2" t="s">
        <v>294</v>
      </c>
      <c r="D36" s="2" t="s">
        <v>33</v>
      </c>
      <c r="E36" s="2" t="s">
        <v>295</v>
      </c>
      <c r="F36" s="2">
        <v>8700</v>
      </c>
      <c r="G36" s="2" t="s">
        <v>296</v>
      </c>
      <c r="H36" s="2">
        <v>75621014</v>
      </c>
      <c r="I36" s="2" t="s">
        <v>14</v>
      </c>
      <c r="J36" s="6" t="s">
        <v>333</v>
      </c>
      <c r="K36" s="6" t="s">
        <v>328</v>
      </c>
      <c r="L36" s="6" t="str">
        <f t="shared" si="5"/>
        <v>Horsens Havn, let forurenet jord</v>
      </c>
      <c r="M36" s="8" t="s">
        <v>330</v>
      </c>
      <c r="N36" s="6" t="str">
        <f t="shared" si="6"/>
        <v>JORDTIP</v>
      </c>
      <c r="O36" s="8" t="s">
        <v>331</v>
      </c>
      <c r="P36" s="6" t="str">
        <f t="shared" si="7"/>
        <v>Horsens Havn, let forurenet jord</v>
      </c>
      <c r="Q36" s="8" t="s">
        <v>329</v>
      </c>
      <c r="R36" s="6" t="str">
        <f t="shared" si="8"/>
        <v>Ove Jensens Alle 35</v>
      </c>
      <c r="S36" s="8" t="s">
        <v>324</v>
      </c>
      <c r="T36" s="8">
        <f t="shared" si="9"/>
        <v>8700</v>
      </c>
      <c r="U36" s="8" t="s">
        <v>325</v>
      </c>
      <c r="V36" s="8" t="str">
        <f t="shared" si="10"/>
        <v>Horsens</v>
      </c>
      <c r="W36" s="8" t="s">
        <v>329</v>
      </c>
      <c r="X36" s="8" t="str">
        <f t="shared" si="11"/>
        <v>1135a Horsens Bygrunde</v>
      </c>
      <c r="Y36" s="8" t="s">
        <v>332</v>
      </c>
      <c r="Z36" s="8" t="str">
        <f t="shared" si="12"/>
        <v>Ja</v>
      </c>
      <c r="AA36" s="6" t="s">
        <v>334</v>
      </c>
      <c r="AB36" s="7"/>
      <c r="AD36" t="s">
        <v>322</v>
      </c>
      <c r="AE36" t="str">
        <f t="shared" si="13"/>
        <v>Horsens Havn, let forurenet jord</v>
      </c>
      <c r="AF36" s="4" t="s">
        <v>323</v>
      </c>
      <c r="AG36" t="str">
        <f t="shared" si="14"/>
        <v>Ove Jensens Alle 35</v>
      </c>
      <c r="AH36" s="4" t="s">
        <v>324</v>
      </c>
      <c r="AI36">
        <f t="shared" si="15"/>
        <v>8700</v>
      </c>
      <c r="AJ36" t="s">
        <v>325</v>
      </c>
      <c r="AK36" t="str">
        <f t="shared" si="16"/>
        <v>Horsens</v>
      </c>
      <c r="AL36" s="4" t="s">
        <v>324</v>
      </c>
      <c r="AM36">
        <f t="shared" si="17"/>
        <v>75621014</v>
      </c>
      <c r="AN36" t="s">
        <v>326</v>
      </c>
      <c r="AO36">
        <v>1</v>
      </c>
      <c r="AP36" t="s">
        <v>327</v>
      </c>
    </row>
    <row r="37" spans="1:42" ht="91.8" x14ac:dyDescent="0.2">
      <c r="A37" s="3">
        <v>1044</v>
      </c>
      <c r="B37" s="3" t="s">
        <v>220</v>
      </c>
      <c r="C37" s="3" t="s">
        <v>221</v>
      </c>
      <c r="D37" s="3" t="s">
        <v>11</v>
      </c>
      <c r="E37" s="3" t="s">
        <v>220</v>
      </c>
      <c r="F37" s="3">
        <v>8240</v>
      </c>
      <c r="G37" s="3" t="s">
        <v>156</v>
      </c>
      <c r="H37" s="3">
        <v>20119106</v>
      </c>
      <c r="I37" s="3" t="s">
        <v>28</v>
      </c>
      <c r="J37" s="6" t="s">
        <v>333</v>
      </c>
      <c r="K37" s="6" t="s">
        <v>328</v>
      </c>
      <c r="L37" s="6" t="str">
        <f t="shared" si="5"/>
        <v>Hørgårdsvej</v>
      </c>
      <c r="M37" s="8" t="s">
        <v>330</v>
      </c>
      <c r="N37" s="6" t="str">
        <f t="shared" si="6"/>
        <v>MIDLERTIDIG OPLAG</v>
      </c>
      <c r="O37" s="8" t="s">
        <v>331</v>
      </c>
      <c r="P37" s="6" t="str">
        <f t="shared" si="7"/>
        <v>Hørgårdsvej</v>
      </c>
      <c r="Q37" s="8" t="s">
        <v>329</v>
      </c>
      <c r="R37" s="6" t="str">
        <f t="shared" si="8"/>
        <v>Hørgårdsvej</v>
      </c>
      <c r="S37" s="8" t="s">
        <v>324</v>
      </c>
      <c r="T37" s="8">
        <f t="shared" si="9"/>
        <v>8240</v>
      </c>
      <c r="U37" s="8" t="s">
        <v>325</v>
      </c>
      <c r="V37" s="8" t="str">
        <f t="shared" si="10"/>
        <v>Risskov</v>
      </c>
      <c r="W37" s="8" t="s">
        <v>329</v>
      </c>
      <c r="X37" s="8" t="str">
        <f t="shared" si="11"/>
        <v>34 ac Vejlby By, Risskov, er sagen afsluttet?</v>
      </c>
      <c r="Y37" s="8" t="s">
        <v>332</v>
      </c>
      <c r="Z37" s="8" t="str">
        <f t="shared" si="12"/>
        <v>Nej</v>
      </c>
      <c r="AA37" s="6" t="s">
        <v>334</v>
      </c>
      <c r="AB37" s="6"/>
      <c r="AD37" t="s">
        <v>322</v>
      </c>
      <c r="AE37" t="str">
        <f t="shared" si="13"/>
        <v>Hørgårdsvej</v>
      </c>
      <c r="AF37" s="4" t="s">
        <v>323</v>
      </c>
      <c r="AG37" t="str">
        <f t="shared" si="14"/>
        <v>Hørgårdsvej</v>
      </c>
      <c r="AH37" s="4" t="s">
        <v>324</v>
      </c>
      <c r="AI37">
        <f t="shared" si="15"/>
        <v>8240</v>
      </c>
      <c r="AJ37" t="s">
        <v>325</v>
      </c>
      <c r="AK37" t="str">
        <f t="shared" si="16"/>
        <v>Risskov</v>
      </c>
      <c r="AL37" s="4" t="s">
        <v>324</v>
      </c>
      <c r="AM37">
        <f t="shared" si="17"/>
        <v>20119106</v>
      </c>
      <c r="AN37" t="s">
        <v>326</v>
      </c>
      <c r="AO37">
        <v>0</v>
      </c>
      <c r="AP37" t="s">
        <v>327</v>
      </c>
    </row>
    <row r="38" spans="1:42" ht="91.8" x14ac:dyDescent="0.2">
      <c r="A38" s="2">
        <v>964</v>
      </c>
      <c r="B38" s="2" t="s">
        <v>187</v>
      </c>
      <c r="C38" s="2" t="s">
        <v>61</v>
      </c>
      <c r="D38" s="2" t="s">
        <v>33</v>
      </c>
      <c r="E38" s="2" t="s">
        <v>188</v>
      </c>
      <c r="F38" s="2">
        <v>8670</v>
      </c>
      <c r="G38" s="2" t="s">
        <v>63</v>
      </c>
      <c r="H38" s="2">
        <v>70222262</v>
      </c>
      <c r="I38" s="2" t="s">
        <v>14</v>
      </c>
      <c r="J38" s="6" t="s">
        <v>333</v>
      </c>
      <c r="K38" s="6" t="s">
        <v>328</v>
      </c>
      <c r="L38" s="6" t="str">
        <f t="shared" si="5"/>
        <v>JJ Grus A/S (Kalbygård Grusgrav)</v>
      </c>
      <c r="M38" s="8" t="s">
        <v>330</v>
      </c>
      <c r="N38" s="6" t="str">
        <f t="shared" si="6"/>
        <v>JORDTIP</v>
      </c>
      <c r="O38" s="8" t="s">
        <v>331</v>
      </c>
      <c r="P38" s="6" t="str">
        <f t="shared" si="7"/>
        <v>JJ Grus A/S (Kalbygård Grusgrav)</v>
      </c>
      <c r="Q38" s="8" t="s">
        <v>329</v>
      </c>
      <c r="R38" s="6" t="str">
        <f t="shared" si="8"/>
        <v>Hovedvejen 24A</v>
      </c>
      <c r="S38" s="8" t="s">
        <v>324</v>
      </c>
      <c r="T38" s="8">
        <f t="shared" si="9"/>
        <v>8670</v>
      </c>
      <c r="U38" s="8" t="s">
        <v>325</v>
      </c>
      <c r="V38" s="8" t="str">
        <f t="shared" si="10"/>
        <v>Låsby</v>
      </c>
      <c r="W38" s="8" t="s">
        <v>329</v>
      </c>
      <c r="X38" s="8" t="str">
        <f t="shared" si="11"/>
        <v>(email info@jj-grus.dk)</v>
      </c>
      <c r="Y38" s="8" t="s">
        <v>332</v>
      </c>
      <c r="Z38" s="8" t="str">
        <f t="shared" si="12"/>
        <v>Ja</v>
      </c>
      <c r="AA38" s="6" t="s">
        <v>334</v>
      </c>
      <c r="AB38" s="7"/>
      <c r="AD38" t="s">
        <v>322</v>
      </c>
      <c r="AE38" t="str">
        <f t="shared" si="13"/>
        <v>JJ Grus A/S (Kalbygård Grusgrav)</v>
      </c>
      <c r="AF38" s="4" t="s">
        <v>323</v>
      </c>
      <c r="AG38" t="str">
        <f t="shared" si="14"/>
        <v>Hovedvejen 24A</v>
      </c>
      <c r="AH38" s="4" t="s">
        <v>324</v>
      </c>
      <c r="AI38">
        <f t="shared" si="15"/>
        <v>8670</v>
      </c>
      <c r="AJ38" t="s">
        <v>325</v>
      </c>
      <c r="AK38" t="str">
        <f t="shared" si="16"/>
        <v>Låsby</v>
      </c>
      <c r="AL38" s="4" t="s">
        <v>324</v>
      </c>
      <c r="AM38">
        <f t="shared" si="17"/>
        <v>70222262</v>
      </c>
      <c r="AN38" t="s">
        <v>326</v>
      </c>
      <c r="AO38">
        <v>1</v>
      </c>
      <c r="AP38" t="s">
        <v>327</v>
      </c>
    </row>
    <row r="39" spans="1:42" ht="91.8" x14ac:dyDescent="0.2">
      <c r="A39" s="3">
        <v>684</v>
      </c>
      <c r="B39" s="3" t="s">
        <v>144</v>
      </c>
      <c r="C39" s="3" t="s">
        <v>145</v>
      </c>
      <c r="D39" s="3" t="s">
        <v>33</v>
      </c>
      <c r="E39" s="3" t="s">
        <v>146</v>
      </c>
      <c r="F39" s="3">
        <v>8260</v>
      </c>
      <c r="G39" s="3" t="s">
        <v>46</v>
      </c>
      <c r="H39" s="3">
        <v>86241288</v>
      </c>
      <c r="I39" s="3" t="s">
        <v>14</v>
      </c>
      <c r="J39" s="6" t="s">
        <v>333</v>
      </c>
      <c r="K39" s="6" t="s">
        <v>328</v>
      </c>
      <c r="L39" s="6" t="str">
        <f t="shared" si="5"/>
        <v>Johs. Sørensen &amp; sønner A/S</v>
      </c>
      <c r="M39" s="8" t="s">
        <v>330</v>
      </c>
      <c r="N39" s="6" t="str">
        <f t="shared" si="6"/>
        <v>JORDTIP</v>
      </c>
      <c r="O39" s="8" t="s">
        <v>331</v>
      </c>
      <c r="P39" s="6" t="str">
        <f t="shared" si="7"/>
        <v>Johs. Sørensen &amp; sønner A/S</v>
      </c>
      <c r="Q39" s="8" t="s">
        <v>329</v>
      </c>
      <c r="R39" s="6" t="str">
        <f t="shared" si="8"/>
        <v>Åbovej 16 (Tidl. Torsøvej 242)</v>
      </c>
      <c r="S39" s="8" t="s">
        <v>324</v>
      </c>
      <c r="T39" s="8">
        <f t="shared" si="9"/>
        <v>8260</v>
      </c>
      <c r="U39" s="8" t="s">
        <v>325</v>
      </c>
      <c r="V39" s="8" t="str">
        <f t="shared" si="10"/>
        <v>Viby J</v>
      </c>
      <c r="W39" s="8" t="s">
        <v>329</v>
      </c>
      <c r="X39" s="8" t="str">
        <f t="shared" si="11"/>
        <v>38 Edslev By, Kolt</v>
      </c>
      <c r="Y39" s="8" t="s">
        <v>332</v>
      </c>
      <c r="Z39" s="8" t="str">
        <f t="shared" si="12"/>
        <v>Ja</v>
      </c>
      <c r="AA39" s="6" t="s">
        <v>334</v>
      </c>
      <c r="AB39" s="6"/>
      <c r="AF39" s="4"/>
      <c r="AH39" s="4"/>
      <c r="AL39" s="4"/>
    </row>
    <row r="40" spans="1:42" ht="91.8" x14ac:dyDescent="0.2">
      <c r="A40" s="3">
        <v>204</v>
      </c>
      <c r="B40" s="3" t="s">
        <v>70</v>
      </c>
      <c r="C40" s="3" t="s">
        <v>71</v>
      </c>
      <c r="D40" s="3" t="s">
        <v>11</v>
      </c>
      <c r="E40" s="3" t="s">
        <v>72</v>
      </c>
      <c r="F40" s="3">
        <v>8210</v>
      </c>
      <c r="G40" s="3" t="s">
        <v>38</v>
      </c>
      <c r="H40" s="3">
        <v>86241288</v>
      </c>
      <c r="I40" s="3" t="s">
        <v>14</v>
      </c>
      <c r="J40" s="6" t="s">
        <v>333</v>
      </c>
      <c r="K40" s="6" t="s">
        <v>328</v>
      </c>
      <c r="L40" s="6" t="str">
        <f t="shared" si="5"/>
        <v>Johs. Sørensen &amp; Sønner A/S</v>
      </c>
      <c r="M40" s="8" t="s">
        <v>330</v>
      </c>
      <c r="N40" s="6" t="str">
        <f t="shared" si="6"/>
        <v>MIDLERTIDIG OPLAG</v>
      </c>
      <c r="O40" s="8" t="s">
        <v>331</v>
      </c>
      <c r="P40" s="6" t="str">
        <f t="shared" si="7"/>
        <v>Johs. Sørensen &amp; Sønner A/S</v>
      </c>
      <c r="Q40" s="8" t="s">
        <v>329</v>
      </c>
      <c r="R40" s="6" t="str">
        <f t="shared" si="8"/>
        <v>Holmstrupgårdsvej 9</v>
      </c>
      <c r="S40" s="8" t="s">
        <v>324</v>
      </c>
      <c r="T40" s="8">
        <f t="shared" si="9"/>
        <v>8210</v>
      </c>
      <c r="U40" s="8" t="s">
        <v>325</v>
      </c>
      <c r="V40" s="8" t="str">
        <f t="shared" si="10"/>
        <v>Aarhus V</v>
      </c>
      <c r="W40" s="8" t="s">
        <v>329</v>
      </c>
      <c r="X40" s="8" t="str">
        <f t="shared" si="11"/>
        <v>12ck Brabrand By, Brabrand</v>
      </c>
      <c r="Y40" s="8" t="s">
        <v>332</v>
      </c>
      <c r="Z40" s="8" t="str">
        <f t="shared" si="12"/>
        <v>Ja</v>
      </c>
      <c r="AA40" s="6" t="s">
        <v>334</v>
      </c>
      <c r="AB40" s="6"/>
      <c r="AD40" t="s">
        <v>322</v>
      </c>
      <c r="AE40" t="str">
        <f t="shared" ref="AE40:AE82" si="18">B40</f>
        <v>Johs. Sørensen &amp; Sønner A/S</v>
      </c>
      <c r="AF40" s="4" t="s">
        <v>323</v>
      </c>
      <c r="AG40" t="str">
        <f t="shared" ref="AG40:AG82" si="19">E40</f>
        <v>Holmstrupgårdsvej 9</v>
      </c>
      <c r="AH40" s="4" t="s">
        <v>324</v>
      </c>
      <c r="AI40">
        <f t="shared" ref="AI40:AI82" si="20">F40</f>
        <v>8210</v>
      </c>
      <c r="AJ40" t="s">
        <v>325</v>
      </c>
      <c r="AK40" t="str">
        <f t="shared" ref="AK40:AK82" si="21">G40</f>
        <v>Aarhus V</v>
      </c>
      <c r="AL40" s="4" t="s">
        <v>324</v>
      </c>
      <c r="AM40">
        <f t="shared" ref="AM40:AM82" si="22">H40</f>
        <v>86241288</v>
      </c>
      <c r="AN40" t="s">
        <v>326</v>
      </c>
      <c r="AO40">
        <v>1</v>
      </c>
      <c r="AP40" t="s">
        <v>327</v>
      </c>
    </row>
    <row r="41" spans="1:42" ht="91.8" x14ac:dyDescent="0.2">
      <c r="A41" s="2">
        <v>1346</v>
      </c>
      <c r="B41" s="2" t="s">
        <v>261</v>
      </c>
      <c r="C41" s="2" t="s">
        <v>262</v>
      </c>
      <c r="D41" s="2" t="s">
        <v>17</v>
      </c>
      <c r="E41" s="2" t="s">
        <v>263</v>
      </c>
      <c r="F41" s="2">
        <v>6200</v>
      </c>
      <c r="G41" s="2" t="s">
        <v>92</v>
      </c>
      <c r="H41" s="2">
        <v>73680003</v>
      </c>
      <c r="I41" s="2" t="s">
        <v>14</v>
      </c>
      <c r="J41" s="6" t="s">
        <v>333</v>
      </c>
      <c r="K41" s="6" t="s">
        <v>328</v>
      </c>
      <c r="L41" s="6" t="str">
        <f t="shared" si="5"/>
        <v>Jordrens Syd ApS</v>
      </c>
      <c r="M41" s="8" t="s">
        <v>330</v>
      </c>
      <c r="N41" s="6" t="str">
        <f t="shared" si="6"/>
        <v>JORDRENSNING</v>
      </c>
      <c r="O41" s="8" t="s">
        <v>331</v>
      </c>
      <c r="P41" s="6" t="str">
        <f t="shared" si="7"/>
        <v>Jordrens Syd ApS</v>
      </c>
      <c r="Q41" s="8" t="s">
        <v>329</v>
      </c>
      <c r="R41" s="6" t="str">
        <f t="shared" si="8"/>
        <v>Flensborg Landevej 1, Søgaard</v>
      </c>
      <c r="S41" s="8" t="s">
        <v>324</v>
      </c>
      <c r="T41" s="8">
        <f t="shared" si="9"/>
        <v>6200</v>
      </c>
      <c r="U41" s="8" t="s">
        <v>325</v>
      </c>
      <c r="V41" s="8" t="str">
        <f t="shared" si="10"/>
        <v>Aabenraa</v>
      </c>
      <c r="W41" s="8" t="s">
        <v>329</v>
      </c>
      <c r="X41" s="8" t="str">
        <f t="shared" si="11"/>
        <v>jrs@jordrenssyd.dk</v>
      </c>
      <c r="Y41" s="8" t="s">
        <v>332</v>
      </c>
      <c r="Z41" s="8" t="str">
        <f t="shared" si="12"/>
        <v>Ja</v>
      </c>
      <c r="AA41" s="6" t="s">
        <v>334</v>
      </c>
      <c r="AB41" s="7"/>
      <c r="AD41" t="s">
        <v>322</v>
      </c>
      <c r="AE41" t="str">
        <f t="shared" si="18"/>
        <v>Jordrens Syd ApS</v>
      </c>
      <c r="AF41" s="4" t="s">
        <v>323</v>
      </c>
      <c r="AG41" t="str">
        <f t="shared" si="19"/>
        <v>Flensborg Landevej 1, Søgaard</v>
      </c>
      <c r="AH41" s="4" t="s">
        <v>324</v>
      </c>
      <c r="AI41">
        <f t="shared" si="20"/>
        <v>6200</v>
      </c>
      <c r="AJ41" t="s">
        <v>325</v>
      </c>
      <c r="AK41" t="str">
        <f t="shared" si="21"/>
        <v>Aabenraa</v>
      </c>
      <c r="AL41" s="4" t="s">
        <v>324</v>
      </c>
      <c r="AM41">
        <f t="shared" si="22"/>
        <v>73680003</v>
      </c>
      <c r="AN41" t="s">
        <v>326</v>
      </c>
      <c r="AO41">
        <v>1</v>
      </c>
      <c r="AP41" t="s">
        <v>327</v>
      </c>
    </row>
    <row r="42" spans="1:42" ht="91.8" x14ac:dyDescent="0.2">
      <c r="A42" s="3">
        <v>824</v>
      </c>
      <c r="B42" s="3" t="s">
        <v>166</v>
      </c>
      <c r="C42" s="3" t="s">
        <v>167</v>
      </c>
      <c r="D42" s="3" t="s">
        <v>33</v>
      </c>
      <c r="E42" s="3" t="s">
        <v>168</v>
      </c>
      <c r="F42" s="3">
        <v>8380</v>
      </c>
      <c r="G42" s="3" t="s">
        <v>169</v>
      </c>
      <c r="H42" s="3">
        <v>40294042</v>
      </c>
      <c r="I42" s="3" t="s">
        <v>28</v>
      </c>
      <c r="J42" s="6" t="s">
        <v>333</v>
      </c>
      <c r="K42" s="6" t="s">
        <v>328</v>
      </c>
      <c r="L42" s="6" t="str">
        <f t="shared" si="5"/>
        <v>Jordtip ved Erbækvej</v>
      </c>
      <c r="M42" s="8" t="s">
        <v>330</v>
      </c>
      <c r="N42" s="6" t="str">
        <f t="shared" si="6"/>
        <v>JORDTIP</v>
      </c>
      <c r="O42" s="8" t="s">
        <v>331</v>
      </c>
      <c r="P42" s="6" t="str">
        <f t="shared" si="7"/>
        <v>Jordtip ved Erbækvej</v>
      </c>
      <c r="Q42" s="8" t="s">
        <v>329</v>
      </c>
      <c r="R42" s="6" t="str">
        <f t="shared" si="8"/>
        <v>Pannerupvej 15</v>
      </c>
      <c r="S42" s="8" t="s">
        <v>324</v>
      </c>
      <c r="T42" s="8">
        <f t="shared" si="9"/>
        <v>8380</v>
      </c>
      <c r="U42" s="8" t="s">
        <v>325</v>
      </c>
      <c r="V42" s="8" t="str">
        <f t="shared" si="10"/>
        <v>Trige</v>
      </c>
      <c r="W42" s="8" t="s">
        <v>329</v>
      </c>
      <c r="X42" s="8" t="str">
        <f t="shared" si="11"/>
        <v>2f, Trige By, Trige</v>
      </c>
      <c r="Y42" s="8" t="s">
        <v>332</v>
      </c>
      <c r="Z42" s="8" t="str">
        <f t="shared" si="12"/>
        <v>Nej</v>
      </c>
      <c r="AA42" s="6" t="s">
        <v>334</v>
      </c>
      <c r="AB42" s="6"/>
      <c r="AD42" t="s">
        <v>322</v>
      </c>
      <c r="AE42" t="str">
        <f t="shared" si="18"/>
        <v>Jordtip ved Erbækvej</v>
      </c>
      <c r="AF42" s="4" t="s">
        <v>323</v>
      </c>
      <c r="AG42" t="str">
        <f t="shared" si="19"/>
        <v>Pannerupvej 15</v>
      </c>
      <c r="AH42" s="4" t="s">
        <v>324</v>
      </c>
      <c r="AI42">
        <f t="shared" si="20"/>
        <v>8380</v>
      </c>
      <c r="AJ42" t="s">
        <v>325</v>
      </c>
      <c r="AK42" t="str">
        <f t="shared" si="21"/>
        <v>Trige</v>
      </c>
      <c r="AL42" s="4" t="s">
        <v>324</v>
      </c>
      <c r="AM42">
        <f t="shared" si="22"/>
        <v>40294042</v>
      </c>
      <c r="AN42" t="s">
        <v>326</v>
      </c>
      <c r="AO42">
        <v>0</v>
      </c>
      <c r="AP42" t="s">
        <v>327</v>
      </c>
    </row>
    <row r="43" spans="1:42" ht="91.8" x14ac:dyDescent="0.2">
      <c r="A43" s="2">
        <v>704</v>
      </c>
      <c r="B43" s="2" t="s">
        <v>147</v>
      </c>
      <c r="C43" s="2" t="s">
        <v>148</v>
      </c>
      <c r="D43" s="2" t="s">
        <v>33</v>
      </c>
      <c r="E43" s="2" t="s">
        <v>149</v>
      </c>
      <c r="F43" s="2">
        <v>8382</v>
      </c>
      <c r="G43" s="2" t="s">
        <v>89</v>
      </c>
      <c r="H43" s="2">
        <v>0</v>
      </c>
      <c r="I43" s="2" t="s">
        <v>28</v>
      </c>
      <c r="J43" s="6" t="s">
        <v>333</v>
      </c>
      <c r="K43" s="6" t="s">
        <v>328</v>
      </c>
      <c r="L43" s="6" t="str">
        <f t="shared" si="5"/>
        <v>Jordvold ved Århus Vej</v>
      </c>
      <c r="M43" s="8" t="s">
        <v>330</v>
      </c>
      <c r="N43" s="6" t="str">
        <f t="shared" si="6"/>
        <v>JORDTIP</v>
      </c>
      <c r="O43" s="8" t="s">
        <v>331</v>
      </c>
      <c r="P43" s="6" t="str">
        <f t="shared" si="7"/>
        <v>Jordvold ved Århus Vej</v>
      </c>
      <c r="Q43" s="8" t="s">
        <v>329</v>
      </c>
      <c r="R43" s="6" t="str">
        <f t="shared" si="8"/>
        <v>Århusvej 55</v>
      </c>
      <c r="S43" s="8" t="s">
        <v>324</v>
      </c>
      <c r="T43" s="8">
        <f t="shared" si="9"/>
        <v>8382</v>
      </c>
      <c r="U43" s="8" t="s">
        <v>325</v>
      </c>
      <c r="V43" s="8" t="str">
        <f t="shared" si="10"/>
        <v>Hinnerup</v>
      </c>
      <c r="W43" s="8" t="s">
        <v>329</v>
      </c>
      <c r="X43" s="8" t="str">
        <f t="shared" si="11"/>
        <v>Er sagen afsluttet ?</v>
      </c>
      <c r="Y43" s="8" t="s">
        <v>332</v>
      </c>
      <c r="Z43" s="8" t="str">
        <f t="shared" si="12"/>
        <v>Nej</v>
      </c>
      <c r="AA43" s="6" t="s">
        <v>334</v>
      </c>
      <c r="AB43" s="7"/>
      <c r="AD43" t="s">
        <v>322</v>
      </c>
      <c r="AE43" t="str">
        <f t="shared" si="18"/>
        <v>Jordvold ved Århus Vej</v>
      </c>
      <c r="AF43" s="4" t="s">
        <v>323</v>
      </c>
      <c r="AG43" t="str">
        <f t="shared" si="19"/>
        <v>Århusvej 55</v>
      </c>
      <c r="AH43" s="4" t="s">
        <v>324</v>
      </c>
      <c r="AI43">
        <f t="shared" si="20"/>
        <v>8382</v>
      </c>
      <c r="AJ43" t="s">
        <v>325</v>
      </c>
      <c r="AK43" t="str">
        <f t="shared" si="21"/>
        <v>Hinnerup</v>
      </c>
      <c r="AL43" s="4" t="s">
        <v>324</v>
      </c>
      <c r="AM43">
        <f t="shared" si="22"/>
        <v>0</v>
      </c>
      <c r="AN43" t="s">
        <v>326</v>
      </c>
      <c r="AO43">
        <v>0</v>
      </c>
      <c r="AP43" t="s">
        <v>327</v>
      </c>
    </row>
    <row r="44" spans="1:42" ht="91.8" x14ac:dyDescent="0.2">
      <c r="A44" s="3">
        <v>1286</v>
      </c>
      <c r="B44" s="3" t="s">
        <v>252</v>
      </c>
      <c r="C44" s="3" t="s">
        <v>253</v>
      </c>
      <c r="D44" s="3" t="s">
        <v>51</v>
      </c>
      <c r="E44" s="3" t="s">
        <v>254</v>
      </c>
      <c r="F44" s="3">
        <v>8530</v>
      </c>
      <c r="G44" s="3" t="s">
        <v>116</v>
      </c>
      <c r="H44" s="3">
        <v>86999216</v>
      </c>
      <c r="I44" s="3" t="s">
        <v>14</v>
      </c>
      <c r="J44" s="6" t="s">
        <v>333</v>
      </c>
      <c r="K44" s="6" t="s">
        <v>328</v>
      </c>
      <c r="L44" s="6" t="str">
        <f t="shared" si="5"/>
        <v>Jørgen Andersen Aps</v>
      </c>
      <c r="M44" s="8" t="s">
        <v>330</v>
      </c>
      <c r="N44" s="6" t="str">
        <f t="shared" si="6"/>
        <v>RENJORDSTIP</v>
      </c>
      <c r="O44" s="8" t="s">
        <v>331</v>
      </c>
      <c r="P44" s="6" t="str">
        <f t="shared" si="7"/>
        <v>Jørgen Andersen Aps</v>
      </c>
      <c r="Q44" s="8" t="s">
        <v>329</v>
      </c>
      <c r="R44" s="6" t="str">
        <f t="shared" si="8"/>
        <v>Grimsbrovej 25</v>
      </c>
      <c r="S44" s="8" t="s">
        <v>324</v>
      </c>
      <c r="T44" s="8">
        <f t="shared" si="9"/>
        <v>8530</v>
      </c>
      <c r="U44" s="8" t="s">
        <v>325</v>
      </c>
      <c r="V44" s="8" t="str">
        <f t="shared" si="10"/>
        <v>Hjortshøj</v>
      </c>
      <c r="W44" s="8" t="s">
        <v>329</v>
      </c>
      <c r="X44" s="8" t="str">
        <f t="shared" si="11"/>
        <v>3c Benstrup By, Todbjerg</v>
      </c>
      <c r="Y44" s="8" t="s">
        <v>332</v>
      </c>
      <c r="Z44" s="8" t="str">
        <f t="shared" si="12"/>
        <v>Ja</v>
      </c>
      <c r="AA44" s="6" t="s">
        <v>334</v>
      </c>
      <c r="AB44" s="6"/>
      <c r="AD44" t="s">
        <v>322</v>
      </c>
      <c r="AE44" t="str">
        <f t="shared" si="18"/>
        <v>Jørgen Andersen Aps</v>
      </c>
      <c r="AF44" s="4" t="s">
        <v>323</v>
      </c>
      <c r="AG44" t="str">
        <f t="shared" si="19"/>
        <v>Grimsbrovej 25</v>
      </c>
      <c r="AH44" s="4" t="s">
        <v>324</v>
      </c>
      <c r="AI44">
        <f t="shared" si="20"/>
        <v>8530</v>
      </c>
      <c r="AJ44" t="s">
        <v>325</v>
      </c>
      <c r="AK44" t="str">
        <f t="shared" si="21"/>
        <v>Hjortshøj</v>
      </c>
      <c r="AL44" s="4" t="s">
        <v>324</v>
      </c>
      <c r="AM44">
        <f t="shared" si="22"/>
        <v>86999216</v>
      </c>
      <c r="AN44" t="s">
        <v>326</v>
      </c>
      <c r="AO44">
        <v>1</v>
      </c>
      <c r="AP44" t="s">
        <v>327</v>
      </c>
    </row>
    <row r="45" spans="1:42" ht="91.8" x14ac:dyDescent="0.2">
      <c r="A45" s="2">
        <v>144</v>
      </c>
      <c r="B45" s="2" t="s">
        <v>60</v>
      </c>
      <c r="C45" s="2" t="s">
        <v>61</v>
      </c>
      <c r="D45" s="2" t="s">
        <v>33</v>
      </c>
      <c r="E45" s="2" t="s">
        <v>62</v>
      </c>
      <c r="F45" s="2">
        <v>8670</v>
      </c>
      <c r="G45" s="2" t="s">
        <v>63</v>
      </c>
      <c r="H45" s="2">
        <v>70222262</v>
      </c>
      <c r="I45" s="2" t="s">
        <v>28</v>
      </c>
      <c r="J45" s="6" t="s">
        <v>333</v>
      </c>
      <c r="K45" s="6" t="s">
        <v>328</v>
      </c>
      <c r="L45" s="6" t="str">
        <f t="shared" si="5"/>
        <v>Kalbygård Grusgrav</v>
      </c>
      <c r="M45" s="8" t="s">
        <v>330</v>
      </c>
      <c r="N45" s="6" t="str">
        <f t="shared" si="6"/>
        <v>JORDTIP</v>
      </c>
      <c r="O45" s="8" t="s">
        <v>331</v>
      </c>
      <c r="P45" s="6" t="str">
        <f t="shared" si="7"/>
        <v>Kalbygård Grusgrav</v>
      </c>
      <c r="Q45" s="8" t="s">
        <v>329</v>
      </c>
      <c r="R45" s="6" t="str">
        <f t="shared" si="8"/>
        <v>Hovedvejen 24</v>
      </c>
      <c r="S45" s="8" t="s">
        <v>324</v>
      </c>
      <c r="T45" s="8">
        <f t="shared" si="9"/>
        <v>8670</v>
      </c>
      <c r="U45" s="8" t="s">
        <v>325</v>
      </c>
      <c r="V45" s="8" t="str">
        <f t="shared" si="10"/>
        <v>Låsby</v>
      </c>
      <c r="W45" s="8" t="s">
        <v>329</v>
      </c>
      <c r="X45" s="8" t="str">
        <f t="shared" si="11"/>
        <v>(email info@jj-grus.dk)</v>
      </c>
      <c r="Y45" s="8" t="s">
        <v>332</v>
      </c>
      <c r="Z45" s="8" t="str">
        <f t="shared" si="12"/>
        <v>Nej</v>
      </c>
      <c r="AA45" s="6" t="s">
        <v>334</v>
      </c>
      <c r="AB45" s="7"/>
      <c r="AD45" t="s">
        <v>322</v>
      </c>
      <c r="AE45" t="str">
        <f t="shared" si="18"/>
        <v>Kalbygård Grusgrav</v>
      </c>
      <c r="AF45" s="4" t="s">
        <v>323</v>
      </c>
      <c r="AG45" t="str">
        <f t="shared" si="19"/>
        <v>Hovedvejen 24</v>
      </c>
      <c r="AH45" s="4" t="s">
        <v>324</v>
      </c>
      <c r="AI45">
        <f t="shared" si="20"/>
        <v>8670</v>
      </c>
      <c r="AJ45" t="s">
        <v>325</v>
      </c>
      <c r="AK45" t="str">
        <f t="shared" si="21"/>
        <v>Låsby</v>
      </c>
      <c r="AL45" s="4" t="s">
        <v>324</v>
      </c>
      <c r="AM45">
        <f t="shared" si="22"/>
        <v>70222262</v>
      </c>
      <c r="AN45" t="s">
        <v>326</v>
      </c>
      <c r="AO45">
        <v>0</v>
      </c>
      <c r="AP45" t="s">
        <v>327</v>
      </c>
    </row>
    <row r="46" spans="1:42" ht="91.8" x14ac:dyDescent="0.2">
      <c r="A46" s="3">
        <v>944</v>
      </c>
      <c r="B46" s="3" t="s">
        <v>184</v>
      </c>
      <c r="C46" s="3" t="s">
        <v>185</v>
      </c>
      <c r="D46" s="3" t="s">
        <v>11</v>
      </c>
      <c r="E46" s="3" t="s">
        <v>186</v>
      </c>
      <c r="F46" s="3">
        <v>8444</v>
      </c>
      <c r="G46" s="3" t="s">
        <v>19</v>
      </c>
      <c r="H46" s="3">
        <v>22236506</v>
      </c>
      <c r="I46" s="3" t="s">
        <v>14</v>
      </c>
      <c r="J46" s="6" t="s">
        <v>333</v>
      </c>
      <c r="K46" s="6" t="s">
        <v>328</v>
      </c>
      <c r="L46" s="6" t="str">
        <f t="shared" si="5"/>
        <v>Katholm Grusgrav</v>
      </c>
      <c r="M46" s="8" t="s">
        <v>330</v>
      </c>
      <c r="N46" s="6" t="str">
        <f t="shared" si="6"/>
        <v>MIDLERTIDIG OPLAG</v>
      </c>
      <c r="O46" s="8" t="s">
        <v>331</v>
      </c>
      <c r="P46" s="6" t="str">
        <f t="shared" si="7"/>
        <v>Katholm Grusgrav</v>
      </c>
      <c r="Q46" s="8" t="s">
        <v>329</v>
      </c>
      <c r="R46" s="6" t="str">
        <f t="shared" si="8"/>
        <v>Nymandsvej 16h</v>
      </c>
      <c r="S46" s="8" t="s">
        <v>324</v>
      </c>
      <c r="T46" s="8">
        <f t="shared" si="9"/>
        <v>8444</v>
      </c>
      <c r="U46" s="8" t="s">
        <v>325</v>
      </c>
      <c r="V46" s="8" t="str">
        <f t="shared" si="10"/>
        <v>Balle</v>
      </c>
      <c r="W46" s="8" t="s">
        <v>329</v>
      </c>
      <c r="X46" s="8" t="str">
        <f t="shared" si="11"/>
        <v>11a og 11e Glatved By, Hoed (dispensation kræves)</v>
      </c>
      <c r="Y46" s="8" t="s">
        <v>332</v>
      </c>
      <c r="Z46" s="8" t="str">
        <f t="shared" si="12"/>
        <v>Ja</v>
      </c>
      <c r="AA46" s="6" t="s">
        <v>334</v>
      </c>
      <c r="AB46" s="6"/>
      <c r="AD46" t="s">
        <v>322</v>
      </c>
      <c r="AE46" t="str">
        <f t="shared" si="18"/>
        <v>Katholm Grusgrav</v>
      </c>
      <c r="AF46" s="4" t="s">
        <v>323</v>
      </c>
      <c r="AG46" t="str">
        <f t="shared" si="19"/>
        <v>Nymandsvej 16h</v>
      </c>
      <c r="AH46" s="4" t="s">
        <v>324</v>
      </c>
      <c r="AI46">
        <f t="shared" si="20"/>
        <v>8444</v>
      </c>
      <c r="AJ46" t="s">
        <v>325</v>
      </c>
      <c r="AK46" t="str">
        <f t="shared" si="21"/>
        <v>Balle</v>
      </c>
      <c r="AL46" s="4" t="s">
        <v>324</v>
      </c>
      <c r="AM46">
        <f t="shared" si="22"/>
        <v>22236506</v>
      </c>
      <c r="AN46" t="s">
        <v>326</v>
      </c>
      <c r="AO46">
        <v>1</v>
      </c>
      <c r="AP46" t="s">
        <v>327</v>
      </c>
    </row>
    <row r="47" spans="1:42" ht="91.8" x14ac:dyDescent="0.2">
      <c r="A47" s="3">
        <v>1026</v>
      </c>
      <c r="B47" s="3" t="s">
        <v>198</v>
      </c>
      <c r="C47" s="3" t="s">
        <v>199</v>
      </c>
      <c r="D47" s="3" t="s">
        <v>56</v>
      </c>
      <c r="E47" s="3" t="s">
        <v>149</v>
      </c>
      <c r="F47" s="3">
        <v>8382</v>
      </c>
      <c r="G47" s="3" t="s">
        <v>89</v>
      </c>
      <c r="H47" s="3">
        <v>0</v>
      </c>
      <c r="I47" s="3" t="s">
        <v>28</v>
      </c>
      <c r="J47" s="6" t="s">
        <v>333</v>
      </c>
      <c r="K47" s="6" t="s">
        <v>328</v>
      </c>
      <c r="L47" s="6" t="str">
        <f t="shared" si="5"/>
        <v>Kent Jeppesen. lermembran til sø</v>
      </c>
      <c r="M47" s="8" t="s">
        <v>330</v>
      </c>
      <c r="N47" s="6" t="str">
        <f t="shared" si="6"/>
        <v>GENANVENDELSE</v>
      </c>
      <c r="O47" s="8" t="s">
        <v>331</v>
      </c>
      <c r="P47" s="6" t="str">
        <f t="shared" si="7"/>
        <v>Kent Jeppesen. lermembran til sø</v>
      </c>
      <c r="Q47" s="8" t="s">
        <v>329</v>
      </c>
      <c r="R47" s="6" t="str">
        <f t="shared" si="8"/>
        <v>Århusvej 55</v>
      </c>
      <c r="S47" s="8" t="s">
        <v>324</v>
      </c>
      <c r="T47" s="8">
        <f t="shared" si="9"/>
        <v>8382</v>
      </c>
      <c r="U47" s="8" t="s">
        <v>325</v>
      </c>
      <c r="V47" s="8" t="str">
        <f t="shared" si="10"/>
        <v>Hinnerup</v>
      </c>
      <c r="W47" s="8" t="s">
        <v>329</v>
      </c>
      <c r="X47" s="8" t="str">
        <f t="shared" si="11"/>
        <v>Undersøg om sagen er afsluttet</v>
      </c>
      <c r="Y47" s="8" t="s">
        <v>332</v>
      </c>
      <c r="Z47" s="8" t="str">
        <f t="shared" si="12"/>
        <v>Nej</v>
      </c>
      <c r="AA47" s="6" t="s">
        <v>334</v>
      </c>
      <c r="AB47" s="6"/>
      <c r="AD47" t="s">
        <v>322</v>
      </c>
      <c r="AE47" t="str">
        <f t="shared" si="18"/>
        <v>Kent Jeppesen. lermembran til sø</v>
      </c>
      <c r="AF47" s="4" t="s">
        <v>323</v>
      </c>
      <c r="AG47" t="str">
        <f t="shared" si="19"/>
        <v>Århusvej 55</v>
      </c>
      <c r="AH47" s="4" t="s">
        <v>324</v>
      </c>
      <c r="AI47">
        <f t="shared" si="20"/>
        <v>8382</v>
      </c>
      <c r="AJ47" t="s">
        <v>325</v>
      </c>
      <c r="AK47" t="str">
        <f t="shared" si="21"/>
        <v>Hinnerup</v>
      </c>
      <c r="AL47" s="4" t="s">
        <v>324</v>
      </c>
      <c r="AM47">
        <f t="shared" si="22"/>
        <v>0</v>
      </c>
      <c r="AN47" t="s">
        <v>326</v>
      </c>
      <c r="AO47">
        <v>0</v>
      </c>
      <c r="AP47" t="s">
        <v>327</v>
      </c>
    </row>
    <row r="48" spans="1:42" ht="91.8" x14ac:dyDescent="0.2">
      <c r="A48" s="2">
        <v>1226</v>
      </c>
      <c r="B48" s="2" t="s">
        <v>242</v>
      </c>
      <c r="C48" s="2" t="s">
        <v>243</v>
      </c>
      <c r="D48" s="2" t="s">
        <v>56</v>
      </c>
      <c r="E48" s="2" t="s">
        <v>244</v>
      </c>
      <c r="F48" s="2">
        <v>8600</v>
      </c>
      <c r="G48" s="2" t="s">
        <v>245</v>
      </c>
      <c r="H48" s="2">
        <v>87229000</v>
      </c>
      <c r="I48" s="2" t="s">
        <v>14</v>
      </c>
      <c r="J48" s="6" t="s">
        <v>333</v>
      </c>
      <c r="K48" s="6" t="s">
        <v>328</v>
      </c>
      <c r="L48" s="6" t="str">
        <f t="shared" si="5"/>
        <v>Kingo Karlsen</v>
      </c>
      <c r="M48" s="8" t="s">
        <v>330</v>
      </c>
      <c r="N48" s="6" t="str">
        <f t="shared" si="6"/>
        <v>GENANVENDELSE</v>
      </c>
      <c r="O48" s="8" t="s">
        <v>331</v>
      </c>
      <c r="P48" s="6" t="str">
        <f t="shared" si="7"/>
        <v>Kingo Karlsen</v>
      </c>
      <c r="Q48" s="8" t="s">
        <v>329</v>
      </c>
      <c r="R48" s="6" t="str">
        <f t="shared" si="8"/>
        <v>Fl Schmidt Vej 17</v>
      </c>
      <c r="S48" s="8" t="s">
        <v>324</v>
      </c>
      <c r="T48" s="8">
        <f t="shared" si="9"/>
        <v>8600</v>
      </c>
      <c r="U48" s="8" t="s">
        <v>325</v>
      </c>
      <c r="V48" s="8" t="str">
        <f t="shared" si="10"/>
        <v>Silkeborg</v>
      </c>
      <c r="W48" s="8" t="s">
        <v>329</v>
      </c>
      <c r="X48" s="8" t="str">
        <f t="shared" si="11"/>
        <v>12is og 14c Gødvad By, Gødvad</v>
      </c>
      <c r="Y48" s="8" t="s">
        <v>332</v>
      </c>
      <c r="Z48" s="8" t="str">
        <f t="shared" si="12"/>
        <v>Ja</v>
      </c>
      <c r="AA48" s="6" t="s">
        <v>334</v>
      </c>
      <c r="AB48" s="7"/>
      <c r="AD48" t="s">
        <v>322</v>
      </c>
      <c r="AE48" t="str">
        <f t="shared" si="18"/>
        <v>Kingo Karlsen</v>
      </c>
      <c r="AF48" s="4" t="s">
        <v>323</v>
      </c>
      <c r="AG48" t="str">
        <f t="shared" si="19"/>
        <v>Fl Schmidt Vej 17</v>
      </c>
      <c r="AH48" s="4" t="s">
        <v>324</v>
      </c>
      <c r="AI48">
        <f t="shared" si="20"/>
        <v>8600</v>
      </c>
      <c r="AJ48" t="s">
        <v>325</v>
      </c>
      <c r="AK48" t="str">
        <f t="shared" si="21"/>
        <v>Silkeborg</v>
      </c>
      <c r="AL48" s="4" t="s">
        <v>324</v>
      </c>
      <c r="AM48">
        <f t="shared" si="22"/>
        <v>87229000</v>
      </c>
      <c r="AN48" t="s">
        <v>326</v>
      </c>
      <c r="AO48">
        <v>1</v>
      </c>
      <c r="AP48" t="s">
        <v>327</v>
      </c>
    </row>
    <row r="49" spans="1:42" ht="91.8" x14ac:dyDescent="0.2">
      <c r="A49" s="3">
        <v>984</v>
      </c>
      <c r="B49" s="3" t="s">
        <v>189</v>
      </c>
      <c r="C49" s="3" t="s">
        <v>190</v>
      </c>
      <c r="D49" s="3" t="s">
        <v>11</v>
      </c>
      <c r="E49" s="3" t="s">
        <v>191</v>
      </c>
      <c r="F49" s="3">
        <v>8340</v>
      </c>
      <c r="G49" s="3" t="s">
        <v>192</v>
      </c>
      <c r="H49" s="3">
        <v>0</v>
      </c>
      <c r="I49" s="3" t="s">
        <v>28</v>
      </c>
      <c r="J49" s="6" t="s">
        <v>333</v>
      </c>
      <c r="K49" s="6" t="s">
        <v>328</v>
      </c>
      <c r="L49" s="6" t="str">
        <f t="shared" si="5"/>
        <v>Knud Værnhøj Jakobsen</v>
      </c>
      <c r="M49" s="8" t="s">
        <v>330</v>
      </c>
      <c r="N49" s="6" t="str">
        <f t="shared" si="6"/>
        <v>MIDLERTIDIG OPLAG</v>
      </c>
      <c r="O49" s="8" t="s">
        <v>331</v>
      </c>
      <c r="P49" s="6" t="str">
        <f t="shared" si="7"/>
        <v>Knud Værnhøj Jakobsen</v>
      </c>
      <c r="Q49" s="8" t="s">
        <v>329</v>
      </c>
      <c r="R49" s="6" t="str">
        <f t="shared" si="8"/>
        <v>Østergårdsvej 111</v>
      </c>
      <c r="S49" s="8" t="s">
        <v>324</v>
      </c>
      <c r="T49" s="8">
        <f t="shared" si="9"/>
        <v>8340</v>
      </c>
      <c r="U49" s="8" t="s">
        <v>325</v>
      </c>
      <c r="V49" s="8" t="str">
        <f t="shared" si="10"/>
        <v>Malling</v>
      </c>
      <c r="W49" s="8" t="s">
        <v>329</v>
      </c>
      <c r="X49" s="8" t="str">
        <f t="shared" si="11"/>
        <v>2a, Vormstrup By, Malling. Er sagen afsluttet?</v>
      </c>
      <c r="Y49" s="8" t="s">
        <v>332</v>
      </c>
      <c r="Z49" s="8" t="str">
        <f t="shared" si="12"/>
        <v>Nej</v>
      </c>
      <c r="AA49" s="6" t="s">
        <v>334</v>
      </c>
      <c r="AB49" s="6"/>
      <c r="AD49" t="s">
        <v>322</v>
      </c>
      <c r="AE49" t="str">
        <f t="shared" si="18"/>
        <v>Knud Værnhøj Jakobsen</v>
      </c>
      <c r="AF49" s="4" t="s">
        <v>323</v>
      </c>
      <c r="AG49" t="str">
        <f t="shared" si="19"/>
        <v>Østergårdsvej 111</v>
      </c>
      <c r="AH49" s="4" t="s">
        <v>324</v>
      </c>
      <c r="AI49">
        <f t="shared" si="20"/>
        <v>8340</v>
      </c>
      <c r="AJ49" t="s">
        <v>325</v>
      </c>
      <c r="AK49" t="str">
        <f t="shared" si="21"/>
        <v>Malling</v>
      </c>
      <c r="AL49" s="4" t="s">
        <v>324</v>
      </c>
      <c r="AM49">
        <f t="shared" si="22"/>
        <v>0</v>
      </c>
      <c r="AN49" t="s">
        <v>326</v>
      </c>
      <c r="AO49">
        <v>0</v>
      </c>
      <c r="AP49" t="s">
        <v>327</v>
      </c>
    </row>
    <row r="50" spans="1:42" ht="91.8" x14ac:dyDescent="0.2">
      <c r="A50" s="3">
        <v>546</v>
      </c>
      <c r="B50" s="3" t="s">
        <v>122</v>
      </c>
      <c r="C50" s="3"/>
      <c r="D50" s="3" t="s">
        <v>11</v>
      </c>
      <c r="E50" s="3" t="s">
        <v>123</v>
      </c>
      <c r="F50" s="3">
        <v>8000</v>
      </c>
      <c r="G50" s="3" t="s">
        <v>35</v>
      </c>
      <c r="H50" s="3">
        <v>0</v>
      </c>
      <c r="I50" s="3" t="s">
        <v>14</v>
      </c>
      <c r="J50" s="6" t="s">
        <v>333</v>
      </c>
      <c r="K50" s="6" t="s">
        <v>328</v>
      </c>
      <c r="L50" s="6" t="str">
        <f t="shared" si="5"/>
        <v>Kombiterminal v/Søren Frichs Vej</v>
      </c>
      <c r="M50" s="8" t="s">
        <v>330</v>
      </c>
      <c r="N50" s="6" t="str">
        <f t="shared" si="6"/>
        <v>MIDLERTIDIG OPLAG</v>
      </c>
      <c r="O50" s="8" t="s">
        <v>331</v>
      </c>
      <c r="P50" s="6" t="str">
        <f t="shared" si="7"/>
        <v>Kombiterminal v/Søren Frichs Vej</v>
      </c>
      <c r="Q50" s="8" t="s">
        <v>329</v>
      </c>
      <c r="R50" s="6" t="str">
        <f t="shared" si="8"/>
        <v>Sonnesgade 21/Skovgårdsgade 3</v>
      </c>
      <c r="S50" s="8" t="s">
        <v>324</v>
      </c>
      <c r="T50" s="8">
        <f t="shared" si="9"/>
        <v>8000</v>
      </c>
      <c r="U50" s="8" t="s">
        <v>325</v>
      </c>
      <c r="V50" s="8" t="str">
        <f t="shared" si="10"/>
        <v>Aarhus C</v>
      </c>
      <c r="W50" s="8" t="s">
        <v>329</v>
      </c>
      <c r="X50" s="8">
        <f t="shared" si="11"/>
        <v>0</v>
      </c>
      <c r="Y50" s="8" t="s">
        <v>332</v>
      </c>
      <c r="Z50" s="8" t="str">
        <f t="shared" si="12"/>
        <v>Ja</v>
      </c>
      <c r="AA50" s="6" t="s">
        <v>334</v>
      </c>
      <c r="AB50" s="6"/>
      <c r="AD50" t="s">
        <v>322</v>
      </c>
      <c r="AE50" t="str">
        <f t="shared" si="18"/>
        <v>Kombiterminal v/Søren Frichs Vej</v>
      </c>
      <c r="AF50" s="4" t="s">
        <v>323</v>
      </c>
      <c r="AG50" t="str">
        <f t="shared" si="19"/>
        <v>Sonnesgade 21/Skovgårdsgade 3</v>
      </c>
      <c r="AH50" s="4" t="s">
        <v>324</v>
      </c>
      <c r="AI50">
        <f t="shared" si="20"/>
        <v>8000</v>
      </c>
      <c r="AJ50" t="s">
        <v>325</v>
      </c>
      <c r="AK50" t="str">
        <f t="shared" si="21"/>
        <v>Aarhus C</v>
      </c>
      <c r="AL50" s="4" t="s">
        <v>324</v>
      </c>
      <c r="AM50">
        <f t="shared" si="22"/>
        <v>0</v>
      </c>
      <c r="AN50" t="s">
        <v>326</v>
      </c>
      <c r="AO50">
        <v>1</v>
      </c>
      <c r="AP50" t="s">
        <v>327</v>
      </c>
    </row>
    <row r="51" spans="1:42" ht="91.8" x14ac:dyDescent="0.2">
      <c r="A51" s="3">
        <v>864</v>
      </c>
      <c r="B51" s="3" t="s">
        <v>173</v>
      </c>
      <c r="C51" s="3"/>
      <c r="D51" s="3" t="s">
        <v>17</v>
      </c>
      <c r="E51" s="3" t="s">
        <v>174</v>
      </c>
      <c r="F51" s="3">
        <v>5800</v>
      </c>
      <c r="G51" s="3" t="s">
        <v>175</v>
      </c>
      <c r="H51" s="3">
        <v>63317100</v>
      </c>
      <c r="I51" s="3" t="s">
        <v>14</v>
      </c>
      <c r="J51" s="6" t="s">
        <v>333</v>
      </c>
      <c r="K51" s="6" t="s">
        <v>328</v>
      </c>
      <c r="L51" s="6" t="str">
        <f t="shared" si="5"/>
        <v>Kommunekemi A/S</v>
      </c>
      <c r="M51" s="8" t="s">
        <v>330</v>
      </c>
      <c r="N51" s="6" t="str">
        <f t="shared" si="6"/>
        <v>JORDRENSNING</v>
      </c>
      <c r="O51" s="8" t="s">
        <v>331</v>
      </c>
      <c r="P51" s="6" t="str">
        <f t="shared" si="7"/>
        <v>Kommunekemi A/S</v>
      </c>
      <c r="Q51" s="8" t="s">
        <v>329</v>
      </c>
      <c r="R51" s="6" t="str">
        <f t="shared" si="8"/>
        <v>Lindholmvej 3</v>
      </c>
      <c r="S51" s="8" t="s">
        <v>324</v>
      </c>
      <c r="T51" s="8">
        <f t="shared" si="9"/>
        <v>5800</v>
      </c>
      <c r="U51" s="8" t="s">
        <v>325</v>
      </c>
      <c r="V51" s="8" t="str">
        <f t="shared" si="10"/>
        <v>Nyborg</v>
      </c>
      <c r="W51" s="8" t="s">
        <v>329</v>
      </c>
      <c r="X51" s="8">
        <f t="shared" si="11"/>
        <v>0</v>
      </c>
      <c r="Y51" s="8" t="s">
        <v>332</v>
      </c>
      <c r="Z51" s="8" t="str">
        <f t="shared" si="12"/>
        <v>Ja</v>
      </c>
      <c r="AA51" s="6" t="s">
        <v>334</v>
      </c>
      <c r="AB51" s="6"/>
      <c r="AD51" t="s">
        <v>322</v>
      </c>
      <c r="AE51" t="str">
        <f t="shared" si="18"/>
        <v>Kommunekemi A/S</v>
      </c>
      <c r="AF51" s="4" t="s">
        <v>323</v>
      </c>
      <c r="AG51" t="str">
        <f t="shared" si="19"/>
        <v>Lindholmvej 3</v>
      </c>
      <c r="AH51" s="4" t="s">
        <v>324</v>
      </c>
      <c r="AI51">
        <f t="shared" si="20"/>
        <v>5800</v>
      </c>
      <c r="AJ51" t="s">
        <v>325</v>
      </c>
      <c r="AK51" t="str">
        <f t="shared" si="21"/>
        <v>Nyborg</v>
      </c>
      <c r="AL51" s="4" t="s">
        <v>324</v>
      </c>
      <c r="AM51">
        <f t="shared" si="22"/>
        <v>63317100</v>
      </c>
      <c r="AN51" t="s">
        <v>326</v>
      </c>
      <c r="AO51">
        <v>1</v>
      </c>
      <c r="AP51" t="s">
        <v>327</v>
      </c>
    </row>
    <row r="52" spans="1:42" ht="91.8" x14ac:dyDescent="0.2">
      <c r="A52" s="2">
        <v>624</v>
      </c>
      <c r="B52" s="2" t="s">
        <v>135</v>
      </c>
      <c r="C52" s="2"/>
      <c r="D52" s="2" t="s">
        <v>17</v>
      </c>
      <c r="E52" s="2" t="s">
        <v>136</v>
      </c>
      <c r="F52" s="2">
        <v>6670</v>
      </c>
      <c r="G52" s="2" t="s">
        <v>137</v>
      </c>
      <c r="H52" s="2">
        <v>70205489</v>
      </c>
      <c r="I52" s="2" t="s">
        <v>14</v>
      </c>
      <c r="J52" s="6" t="s">
        <v>333</v>
      </c>
      <c r="K52" s="6" t="s">
        <v>328</v>
      </c>
      <c r="L52" s="6" t="str">
        <f t="shared" si="5"/>
        <v>Komtek Miljø A/S</v>
      </c>
      <c r="M52" s="8" t="s">
        <v>330</v>
      </c>
      <c r="N52" s="6" t="str">
        <f t="shared" si="6"/>
        <v>JORDRENSNING</v>
      </c>
      <c r="O52" s="8" t="s">
        <v>331</v>
      </c>
      <c r="P52" s="6" t="str">
        <f t="shared" si="7"/>
        <v>Komtek Miljø A/S</v>
      </c>
      <c r="Q52" s="8" t="s">
        <v>329</v>
      </c>
      <c r="R52" s="6" t="str">
        <f t="shared" si="8"/>
        <v>Drivervej 8</v>
      </c>
      <c r="S52" s="8" t="s">
        <v>324</v>
      </c>
      <c r="T52" s="8">
        <f t="shared" si="9"/>
        <v>6670</v>
      </c>
      <c r="U52" s="8" t="s">
        <v>325</v>
      </c>
      <c r="V52" s="8" t="str">
        <f t="shared" si="10"/>
        <v>Holsted</v>
      </c>
      <c r="W52" s="8" t="s">
        <v>329</v>
      </c>
      <c r="X52" s="8">
        <f t="shared" si="11"/>
        <v>0</v>
      </c>
      <c r="Y52" s="8" t="s">
        <v>332</v>
      </c>
      <c r="Z52" s="8" t="str">
        <f t="shared" si="12"/>
        <v>Ja</v>
      </c>
      <c r="AA52" s="6" t="s">
        <v>334</v>
      </c>
      <c r="AB52" s="7"/>
      <c r="AD52" t="s">
        <v>322</v>
      </c>
      <c r="AE52" t="str">
        <f t="shared" si="18"/>
        <v>Komtek Miljø A/S</v>
      </c>
      <c r="AF52" s="4" t="s">
        <v>323</v>
      </c>
      <c r="AG52" t="str">
        <f t="shared" si="19"/>
        <v>Drivervej 8</v>
      </c>
      <c r="AH52" s="4" t="s">
        <v>324</v>
      </c>
      <c r="AI52">
        <f t="shared" si="20"/>
        <v>6670</v>
      </c>
      <c r="AJ52" t="s">
        <v>325</v>
      </c>
      <c r="AK52" t="str">
        <f t="shared" si="21"/>
        <v>Holsted</v>
      </c>
      <c r="AL52" s="4" t="s">
        <v>324</v>
      </c>
      <c r="AM52">
        <f t="shared" si="22"/>
        <v>70205489</v>
      </c>
      <c r="AN52" t="s">
        <v>326</v>
      </c>
      <c r="AO52">
        <v>1</v>
      </c>
      <c r="AP52" t="s">
        <v>327</v>
      </c>
    </row>
    <row r="53" spans="1:42" ht="91.8" x14ac:dyDescent="0.2">
      <c r="A53" s="2">
        <v>82</v>
      </c>
      <c r="B53" s="2" t="s">
        <v>44</v>
      </c>
      <c r="C53" s="2"/>
      <c r="D53" s="2" t="s">
        <v>33</v>
      </c>
      <c r="E53" s="2" t="s">
        <v>45</v>
      </c>
      <c r="F53" s="2">
        <v>8260</v>
      </c>
      <c r="G53" s="2" t="s">
        <v>46</v>
      </c>
      <c r="H53" s="2">
        <v>40432096</v>
      </c>
      <c r="I53" s="2" t="s">
        <v>28</v>
      </c>
      <c r="J53" s="6" t="s">
        <v>333</v>
      </c>
      <c r="K53" s="6" t="s">
        <v>328</v>
      </c>
      <c r="L53" s="6" t="str">
        <f t="shared" si="5"/>
        <v>Konstantinsborg</v>
      </c>
      <c r="M53" s="8" t="s">
        <v>330</v>
      </c>
      <c r="N53" s="6" t="str">
        <f t="shared" si="6"/>
        <v>JORDTIP</v>
      </c>
      <c r="O53" s="8" t="s">
        <v>331</v>
      </c>
      <c r="P53" s="6" t="str">
        <f t="shared" si="7"/>
        <v>Konstantinsborg</v>
      </c>
      <c r="Q53" s="8" t="s">
        <v>329</v>
      </c>
      <c r="R53" s="6" t="str">
        <f t="shared" si="8"/>
        <v>Storskovvej 20</v>
      </c>
      <c r="S53" s="8" t="s">
        <v>324</v>
      </c>
      <c r="T53" s="8">
        <f t="shared" si="9"/>
        <v>8260</v>
      </c>
      <c r="U53" s="8" t="s">
        <v>325</v>
      </c>
      <c r="V53" s="8" t="str">
        <f t="shared" si="10"/>
        <v>Viby J</v>
      </c>
      <c r="W53" s="8" t="s">
        <v>329</v>
      </c>
      <c r="X53" s="8">
        <f t="shared" si="11"/>
        <v>0</v>
      </c>
      <c r="Y53" s="8" t="s">
        <v>332</v>
      </c>
      <c r="Z53" s="8" t="str">
        <f t="shared" si="12"/>
        <v>Nej</v>
      </c>
      <c r="AA53" s="6" t="s">
        <v>334</v>
      </c>
      <c r="AB53" s="7"/>
      <c r="AD53" t="s">
        <v>322</v>
      </c>
      <c r="AE53" t="str">
        <f t="shared" si="18"/>
        <v>Konstantinsborg</v>
      </c>
      <c r="AF53" s="4" t="s">
        <v>323</v>
      </c>
      <c r="AG53" t="str">
        <f t="shared" si="19"/>
        <v>Storskovvej 20</v>
      </c>
      <c r="AH53" s="4" t="s">
        <v>324</v>
      </c>
      <c r="AI53">
        <f t="shared" si="20"/>
        <v>8260</v>
      </c>
      <c r="AJ53" t="s">
        <v>325</v>
      </c>
      <c r="AK53" t="str">
        <f t="shared" si="21"/>
        <v>Viby J</v>
      </c>
      <c r="AL53" s="4" t="s">
        <v>324</v>
      </c>
      <c r="AM53">
        <f t="shared" si="22"/>
        <v>40432096</v>
      </c>
      <c r="AN53" t="s">
        <v>326</v>
      </c>
      <c r="AO53">
        <v>0</v>
      </c>
      <c r="AP53" t="s">
        <v>327</v>
      </c>
    </row>
    <row r="54" spans="1:42" ht="91.8" x14ac:dyDescent="0.2">
      <c r="A54" s="2">
        <v>584</v>
      </c>
      <c r="B54" s="2" t="s">
        <v>129</v>
      </c>
      <c r="C54" s="2" t="s">
        <v>130</v>
      </c>
      <c r="D54" s="2" t="s">
        <v>56</v>
      </c>
      <c r="E54" s="2" t="s">
        <v>131</v>
      </c>
      <c r="F54" s="2">
        <v>8000</v>
      </c>
      <c r="G54" s="2" t="s">
        <v>35</v>
      </c>
      <c r="H54" s="2">
        <v>40442327</v>
      </c>
      <c r="I54" s="2" t="s">
        <v>28</v>
      </c>
      <c r="J54" s="6" t="s">
        <v>333</v>
      </c>
      <c r="K54" s="6" t="s">
        <v>328</v>
      </c>
      <c r="L54" s="6" t="str">
        <f t="shared" si="5"/>
        <v>Kystsikring, pier 4</v>
      </c>
      <c r="M54" s="8" t="s">
        <v>330</v>
      </c>
      <c r="N54" s="6" t="str">
        <f t="shared" si="6"/>
        <v>GENANVENDELSE</v>
      </c>
      <c r="O54" s="8" t="s">
        <v>331</v>
      </c>
      <c r="P54" s="6" t="str">
        <f t="shared" si="7"/>
        <v>Kystsikring, pier 4</v>
      </c>
      <c r="Q54" s="8" t="s">
        <v>329</v>
      </c>
      <c r="R54" s="6" t="str">
        <f t="shared" si="8"/>
        <v>Sverigesgade</v>
      </c>
      <c r="S54" s="8" t="s">
        <v>324</v>
      </c>
      <c r="T54" s="8">
        <f t="shared" si="9"/>
        <v>8000</v>
      </c>
      <c r="U54" s="8" t="s">
        <v>325</v>
      </c>
      <c r="V54" s="8" t="str">
        <f t="shared" si="10"/>
        <v>Aarhus C</v>
      </c>
      <c r="W54" s="8" t="s">
        <v>329</v>
      </c>
      <c r="X54" s="8" t="str">
        <f t="shared" si="11"/>
        <v>Aarsleff A/S, Torben Pedersen</v>
      </c>
      <c r="Y54" s="8" t="s">
        <v>332</v>
      </c>
      <c r="Z54" s="8" t="str">
        <f t="shared" si="12"/>
        <v>Nej</v>
      </c>
      <c r="AA54" s="6" t="s">
        <v>334</v>
      </c>
      <c r="AB54" s="7"/>
      <c r="AD54" t="s">
        <v>322</v>
      </c>
      <c r="AE54" t="str">
        <f t="shared" si="18"/>
        <v>Kystsikring, pier 4</v>
      </c>
      <c r="AF54" s="4" t="s">
        <v>323</v>
      </c>
      <c r="AG54" t="str">
        <f t="shared" si="19"/>
        <v>Sverigesgade</v>
      </c>
      <c r="AH54" s="4" t="s">
        <v>324</v>
      </c>
      <c r="AI54">
        <f t="shared" si="20"/>
        <v>8000</v>
      </c>
      <c r="AJ54" t="s">
        <v>325</v>
      </c>
      <c r="AK54" t="str">
        <f t="shared" si="21"/>
        <v>Aarhus C</v>
      </c>
      <c r="AL54" s="4" t="s">
        <v>324</v>
      </c>
      <c r="AM54">
        <f t="shared" si="22"/>
        <v>40442327</v>
      </c>
      <c r="AN54" t="s">
        <v>326</v>
      </c>
      <c r="AO54">
        <v>0</v>
      </c>
      <c r="AP54" t="s">
        <v>327</v>
      </c>
    </row>
    <row r="55" spans="1:42" ht="91.8" x14ac:dyDescent="0.2">
      <c r="A55" s="2">
        <v>664</v>
      </c>
      <c r="B55" s="2" t="s">
        <v>141</v>
      </c>
      <c r="C55" s="2" t="s">
        <v>142</v>
      </c>
      <c r="D55" s="2" t="s">
        <v>33</v>
      </c>
      <c r="E55" s="2" t="s">
        <v>143</v>
      </c>
      <c r="F55" s="2">
        <v>8520</v>
      </c>
      <c r="G55" s="2" t="s">
        <v>69</v>
      </c>
      <c r="H55" s="2">
        <v>86742452</v>
      </c>
      <c r="I55" s="2" t="s">
        <v>28</v>
      </c>
      <c r="J55" s="6" t="s">
        <v>333</v>
      </c>
      <c r="K55" s="6" t="s">
        <v>328</v>
      </c>
      <c r="L55" s="6" t="str">
        <f t="shared" si="5"/>
        <v>Kærgård renjordstip</v>
      </c>
      <c r="M55" s="8" t="s">
        <v>330</v>
      </c>
      <c r="N55" s="6" t="str">
        <f t="shared" si="6"/>
        <v>JORDTIP</v>
      </c>
      <c r="O55" s="8" t="s">
        <v>331</v>
      </c>
      <c r="P55" s="6" t="str">
        <f t="shared" si="7"/>
        <v>Kærgård renjordstip</v>
      </c>
      <c r="Q55" s="8" t="s">
        <v>329</v>
      </c>
      <c r="R55" s="6" t="str">
        <f t="shared" si="8"/>
        <v>Kjærgårdsvej 1-5</v>
      </c>
      <c r="S55" s="8" t="s">
        <v>324</v>
      </c>
      <c r="T55" s="8">
        <f t="shared" si="9"/>
        <v>8520</v>
      </c>
      <c r="U55" s="8" t="s">
        <v>325</v>
      </c>
      <c r="V55" s="8" t="str">
        <f t="shared" si="10"/>
        <v>Lystrup</v>
      </c>
      <c r="W55" s="8" t="s">
        <v>329</v>
      </c>
      <c r="X55" s="8" t="str">
        <f t="shared" si="11"/>
        <v>1a og 3a Kærgård, Elsted (lukket 1.okt 2010)</v>
      </c>
      <c r="Y55" s="8" t="s">
        <v>332</v>
      </c>
      <c r="Z55" s="8" t="str">
        <f t="shared" si="12"/>
        <v>Nej</v>
      </c>
      <c r="AA55" s="6" t="s">
        <v>334</v>
      </c>
      <c r="AB55" s="7"/>
      <c r="AD55" t="s">
        <v>322</v>
      </c>
      <c r="AE55" t="str">
        <f t="shared" si="18"/>
        <v>Kærgård renjordstip</v>
      </c>
      <c r="AF55" s="4" t="s">
        <v>323</v>
      </c>
      <c r="AG55" t="str">
        <f t="shared" si="19"/>
        <v>Kjærgårdsvej 1-5</v>
      </c>
      <c r="AH55" s="4" t="s">
        <v>324</v>
      </c>
      <c r="AI55">
        <f t="shared" si="20"/>
        <v>8520</v>
      </c>
      <c r="AJ55" t="s">
        <v>325</v>
      </c>
      <c r="AK55" t="str">
        <f t="shared" si="21"/>
        <v>Lystrup</v>
      </c>
      <c r="AL55" s="4" t="s">
        <v>324</v>
      </c>
      <c r="AM55">
        <f t="shared" si="22"/>
        <v>86742452</v>
      </c>
      <c r="AN55" t="s">
        <v>326</v>
      </c>
      <c r="AO55">
        <v>0</v>
      </c>
      <c r="AP55" t="s">
        <v>327</v>
      </c>
    </row>
    <row r="56" spans="1:42" ht="91.8" x14ac:dyDescent="0.2">
      <c r="A56" s="2">
        <v>1024</v>
      </c>
      <c r="B56" s="2" t="s">
        <v>196</v>
      </c>
      <c r="C56" s="2" t="s">
        <v>119</v>
      </c>
      <c r="D56" s="2" t="s">
        <v>56</v>
      </c>
      <c r="E56" s="2" t="s">
        <v>197</v>
      </c>
      <c r="F56" s="2">
        <v>8900</v>
      </c>
      <c r="G56" s="2" t="s">
        <v>106</v>
      </c>
      <c r="H56" s="2">
        <v>11111111</v>
      </c>
      <c r="I56" s="2" t="s">
        <v>28</v>
      </c>
      <c r="J56" s="6" t="s">
        <v>333</v>
      </c>
      <c r="K56" s="6" t="s">
        <v>328</v>
      </c>
      <c r="L56" s="6" t="str">
        <f t="shared" si="5"/>
        <v>Lemminkäinen A/S</v>
      </c>
      <c r="M56" s="8" t="s">
        <v>330</v>
      </c>
      <c r="N56" s="6" t="str">
        <f t="shared" si="6"/>
        <v>GENANVENDELSE</v>
      </c>
      <c r="O56" s="8" t="s">
        <v>331</v>
      </c>
      <c r="P56" s="6" t="str">
        <f t="shared" si="7"/>
        <v>Lemminkäinen A/S</v>
      </c>
      <c r="Q56" s="8" t="s">
        <v>329</v>
      </c>
      <c r="R56" s="6" t="str">
        <f t="shared" si="8"/>
        <v>Kulholmsvej 20</v>
      </c>
      <c r="S56" s="8" t="s">
        <v>324</v>
      </c>
      <c r="T56" s="8">
        <f t="shared" si="9"/>
        <v>8900</v>
      </c>
      <c r="U56" s="8" t="s">
        <v>325</v>
      </c>
      <c r="V56" s="8" t="str">
        <f t="shared" si="10"/>
        <v>Randers C</v>
      </c>
      <c r="W56" s="8" t="s">
        <v>329</v>
      </c>
      <c r="X56" s="8" t="str">
        <f t="shared" si="11"/>
        <v>undersøg om sagen er afsluttet</v>
      </c>
      <c r="Y56" s="8" t="s">
        <v>332</v>
      </c>
      <c r="Z56" s="8" t="str">
        <f t="shared" si="12"/>
        <v>Nej</v>
      </c>
      <c r="AA56" s="6" t="s">
        <v>334</v>
      </c>
      <c r="AB56" s="7"/>
      <c r="AD56" t="s">
        <v>322</v>
      </c>
      <c r="AE56" t="str">
        <f t="shared" si="18"/>
        <v>Lemminkäinen A/S</v>
      </c>
      <c r="AF56" s="4" t="s">
        <v>323</v>
      </c>
      <c r="AG56" t="str">
        <f t="shared" si="19"/>
        <v>Kulholmsvej 20</v>
      </c>
      <c r="AH56" s="4" t="s">
        <v>324</v>
      </c>
      <c r="AI56">
        <f t="shared" si="20"/>
        <v>8900</v>
      </c>
      <c r="AJ56" t="s">
        <v>325</v>
      </c>
      <c r="AK56" t="str">
        <f t="shared" si="21"/>
        <v>Randers C</v>
      </c>
      <c r="AL56" s="4" t="s">
        <v>324</v>
      </c>
      <c r="AM56">
        <f t="shared" si="22"/>
        <v>11111111</v>
      </c>
      <c r="AN56" t="s">
        <v>326</v>
      </c>
      <c r="AO56">
        <v>0</v>
      </c>
      <c r="AP56" t="s">
        <v>327</v>
      </c>
    </row>
    <row r="57" spans="1:42" ht="91.8" x14ac:dyDescent="0.2">
      <c r="A57" s="2">
        <v>1028</v>
      </c>
      <c r="B57" s="2" t="s">
        <v>200</v>
      </c>
      <c r="C57" s="2" t="s">
        <v>201</v>
      </c>
      <c r="D57" s="2" t="s">
        <v>33</v>
      </c>
      <c r="E57" s="2" t="s">
        <v>202</v>
      </c>
      <c r="F57" s="2">
        <v>8361</v>
      </c>
      <c r="G57" s="2" t="s">
        <v>121</v>
      </c>
      <c r="H57" s="2">
        <v>23344727</v>
      </c>
      <c r="I57" s="2" t="s">
        <v>28</v>
      </c>
      <c r="J57" s="6" t="s">
        <v>333</v>
      </c>
      <c r="K57" s="6" t="s">
        <v>328</v>
      </c>
      <c r="L57" s="6" t="str">
        <f t="shared" si="5"/>
        <v>Lermembran i regnvandsbassin</v>
      </c>
      <c r="M57" s="8" t="s">
        <v>330</v>
      </c>
      <c r="N57" s="6" t="str">
        <f t="shared" si="6"/>
        <v>JORDTIP</v>
      </c>
      <c r="O57" s="8" t="s">
        <v>331</v>
      </c>
      <c r="P57" s="6" t="str">
        <f t="shared" si="7"/>
        <v>Lermembran i regnvandsbassin</v>
      </c>
      <c r="Q57" s="8" t="s">
        <v>329</v>
      </c>
      <c r="R57" s="6" t="str">
        <f t="shared" si="8"/>
        <v>Torshøjvej (overfor nr. 35)</v>
      </c>
      <c r="S57" s="8" t="s">
        <v>324</v>
      </c>
      <c r="T57" s="8">
        <f t="shared" si="9"/>
        <v>8361</v>
      </c>
      <c r="U57" s="8" t="s">
        <v>325</v>
      </c>
      <c r="V57" s="8" t="str">
        <f t="shared" si="10"/>
        <v>Hasselager</v>
      </c>
      <c r="W57" s="8" t="s">
        <v>329</v>
      </c>
      <c r="X57" s="8" t="str">
        <f t="shared" si="11"/>
        <v>4b og 5lø, begge Kolt By, Kolt</v>
      </c>
      <c r="Y57" s="8" t="s">
        <v>332</v>
      </c>
      <c r="Z57" s="8" t="str">
        <f t="shared" si="12"/>
        <v>Nej</v>
      </c>
      <c r="AA57" s="6" t="s">
        <v>334</v>
      </c>
      <c r="AB57" s="7"/>
      <c r="AD57" t="s">
        <v>322</v>
      </c>
      <c r="AE57" t="str">
        <f t="shared" si="18"/>
        <v>Lermembran i regnvandsbassin</v>
      </c>
      <c r="AF57" s="4" t="s">
        <v>323</v>
      </c>
      <c r="AG57" t="str">
        <f t="shared" si="19"/>
        <v>Torshøjvej (overfor nr. 35)</v>
      </c>
      <c r="AH57" s="4" t="s">
        <v>324</v>
      </c>
      <c r="AI57">
        <f t="shared" si="20"/>
        <v>8361</v>
      </c>
      <c r="AJ57" t="s">
        <v>325</v>
      </c>
      <c r="AK57" t="str">
        <f t="shared" si="21"/>
        <v>Hasselager</v>
      </c>
      <c r="AL57" s="4" t="s">
        <v>324</v>
      </c>
      <c r="AM57">
        <f t="shared" si="22"/>
        <v>23344727</v>
      </c>
      <c r="AN57" t="s">
        <v>326</v>
      </c>
      <c r="AO57">
        <v>0</v>
      </c>
      <c r="AP57" t="s">
        <v>327</v>
      </c>
    </row>
    <row r="58" spans="1:42" ht="91.8" x14ac:dyDescent="0.2">
      <c r="A58" s="2">
        <v>284</v>
      </c>
      <c r="B58" s="2" t="s">
        <v>79</v>
      </c>
      <c r="C58" s="2" t="s">
        <v>80</v>
      </c>
      <c r="D58" s="2" t="s">
        <v>11</v>
      </c>
      <c r="E58" s="2" t="s">
        <v>81</v>
      </c>
      <c r="F58" s="2">
        <v>7184</v>
      </c>
      <c r="G58" s="2" t="s">
        <v>82</v>
      </c>
      <c r="H58" s="2">
        <v>87221500</v>
      </c>
      <c r="I58" s="2" t="s">
        <v>28</v>
      </c>
      <c r="J58" s="6" t="s">
        <v>333</v>
      </c>
      <c r="K58" s="6" t="s">
        <v>328</v>
      </c>
      <c r="L58" s="6" t="str">
        <f t="shared" si="5"/>
        <v>LMK Vej A/S</v>
      </c>
      <c r="M58" s="8" t="s">
        <v>330</v>
      </c>
      <c r="N58" s="6" t="str">
        <f t="shared" si="6"/>
        <v>MIDLERTIDIG OPLAG</v>
      </c>
      <c r="O58" s="8" t="s">
        <v>331</v>
      </c>
      <c r="P58" s="6" t="str">
        <f t="shared" si="7"/>
        <v>LMK Vej A/S</v>
      </c>
      <c r="Q58" s="8" t="s">
        <v>329</v>
      </c>
      <c r="R58" s="6" t="str">
        <f t="shared" si="8"/>
        <v>Mørupvej 2</v>
      </c>
      <c r="S58" s="8" t="s">
        <v>324</v>
      </c>
      <c r="T58" s="8">
        <f t="shared" si="9"/>
        <v>7184</v>
      </c>
      <c r="U58" s="8" t="s">
        <v>325</v>
      </c>
      <c r="V58" s="8" t="str">
        <f t="shared" si="10"/>
        <v>Vandel</v>
      </c>
      <c r="W58" s="8" t="s">
        <v>329</v>
      </c>
      <c r="X58" s="8" t="str">
        <f t="shared" si="11"/>
        <v>Er sagen stadig aktiv ?</v>
      </c>
      <c r="Y58" s="8" t="s">
        <v>332</v>
      </c>
      <c r="Z58" s="8" t="str">
        <f t="shared" si="12"/>
        <v>Nej</v>
      </c>
      <c r="AA58" s="6" t="s">
        <v>334</v>
      </c>
      <c r="AB58" s="7"/>
      <c r="AD58" t="s">
        <v>322</v>
      </c>
      <c r="AE58" t="str">
        <f t="shared" si="18"/>
        <v>LMK Vej A/S</v>
      </c>
      <c r="AF58" s="4" t="s">
        <v>323</v>
      </c>
      <c r="AG58" t="str">
        <f t="shared" si="19"/>
        <v>Mørupvej 2</v>
      </c>
      <c r="AH58" s="4" t="s">
        <v>324</v>
      </c>
      <c r="AI58">
        <f t="shared" si="20"/>
        <v>7184</v>
      </c>
      <c r="AJ58" t="s">
        <v>325</v>
      </c>
      <c r="AK58" t="str">
        <f t="shared" si="21"/>
        <v>Vandel</v>
      </c>
      <c r="AL58" s="4" t="s">
        <v>324</v>
      </c>
      <c r="AM58">
        <f t="shared" si="22"/>
        <v>87221500</v>
      </c>
      <c r="AN58" t="s">
        <v>326</v>
      </c>
      <c r="AO58">
        <v>0</v>
      </c>
      <c r="AP58" t="s">
        <v>327</v>
      </c>
    </row>
    <row r="59" spans="1:42" ht="91.8" x14ac:dyDescent="0.2">
      <c r="A59" s="2">
        <v>548</v>
      </c>
      <c r="B59" s="2" t="s">
        <v>124</v>
      </c>
      <c r="C59" s="2"/>
      <c r="D59" s="2" t="s">
        <v>11</v>
      </c>
      <c r="E59" s="2" t="s">
        <v>125</v>
      </c>
      <c r="F59" s="2">
        <v>8361</v>
      </c>
      <c r="G59" s="2" t="s">
        <v>121</v>
      </c>
      <c r="H59" s="2">
        <v>0</v>
      </c>
      <c r="I59" s="2" t="s">
        <v>28</v>
      </c>
      <c r="J59" s="6" t="s">
        <v>333</v>
      </c>
      <c r="K59" s="6" t="s">
        <v>328</v>
      </c>
      <c r="L59" s="6" t="str">
        <f t="shared" si="5"/>
        <v>Markareal</v>
      </c>
      <c r="M59" s="8" t="s">
        <v>330</v>
      </c>
      <c r="N59" s="6" t="str">
        <f t="shared" si="6"/>
        <v>MIDLERTIDIG OPLAG</v>
      </c>
      <c r="O59" s="8" t="s">
        <v>331</v>
      </c>
      <c r="P59" s="6" t="str">
        <f t="shared" si="7"/>
        <v>Markareal</v>
      </c>
      <c r="Q59" s="8" t="s">
        <v>329</v>
      </c>
      <c r="R59" s="6" t="str">
        <f t="shared" si="8"/>
        <v>Kølsmosevej 9</v>
      </c>
      <c r="S59" s="8" t="s">
        <v>324</v>
      </c>
      <c r="T59" s="8">
        <f t="shared" si="9"/>
        <v>8361</v>
      </c>
      <c r="U59" s="8" t="s">
        <v>325</v>
      </c>
      <c r="V59" s="8" t="str">
        <f t="shared" si="10"/>
        <v>Hasselager</v>
      </c>
      <c r="W59" s="8" t="s">
        <v>329</v>
      </c>
      <c r="X59" s="8">
        <f t="shared" si="11"/>
        <v>0</v>
      </c>
      <c r="Y59" s="8" t="s">
        <v>332</v>
      </c>
      <c r="Z59" s="8" t="str">
        <f t="shared" si="12"/>
        <v>Nej</v>
      </c>
      <c r="AA59" s="6" t="s">
        <v>334</v>
      </c>
      <c r="AB59" s="7"/>
      <c r="AD59" t="s">
        <v>322</v>
      </c>
      <c r="AE59" t="str">
        <f t="shared" si="18"/>
        <v>Markareal</v>
      </c>
      <c r="AF59" s="4" t="s">
        <v>323</v>
      </c>
      <c r="AG59" t="str">
        <f t="shared" si="19"/>
        <v>Kølsmosevej 9</v>
      </c>
      <c r="AH59" s="4" t="s">
        <v>324</v>
      </c>
      <c r="AI59">
        <f t="shared" si="20"/>
        <v>8361</v>
      </c>
      <c r="AJ59" t="s">
        <v>325</v>
      </c>
      <c r="AK59" t="str">
        <f t="shared" si="21"/>
        <v>Hasselager</v>
      </c>
      <c r="AL59" s="4" t="s">
        <v>324</v>
      </c>
      <c r="AM59">
        <f t="shared" si="22"/>
        <v>0</v>
      </c>
      <c r="AN59" t="s">
        <v>326</v>
      </c>
      <c r="AO59">
        <v>0</v>
      </c>
      <c r="AP59" t="s">
        <v>327</v>
      </c>
    </row>
    <row r="60" spans="1:42" ht="91.8" x14ac:dyDescent="0.2">
      <c r="A60" s="2">
        <v>102</v>
      </c>
      <c r="B60" s="2" t="s">
        <v>50</v>
      </c>
      <c r="C60" s="2"/>
      <c r="D60" s="2" t="s">
        <v>51</v>
      </c>
      <c r="E60" s="2" t="s">
        <v>52</v>
      </c>
      <c r="F60" s="2">
        <v>8000</v>
      </c>
      <c r="G60" s="2" t="s">
        <v>35</v>
      </c>
      <c r="H60" s="2">
        <v>99999999</v>
      </c>
      <c r="I60" s="2" t="s">
        <v>14</v>
      </c>
      <c r="J60" s="6" t="s">
        <v>333</v>
      </c>
      <c r="K60" s="6" t="s">
        <v>328</v>
      </c>
      <c r="L60" s="6" t="str">
        <f t="shared" si="5"/>
        <v>Markarealer</v>
      </c>
      <c r="M60" s="8" t="s">
        <v>330</v>
      </c>
      <c r="N60" s="6" t="str">
        <f t="shared" si="6"/>
        <v>RENJORDSTIP</v>
      </c>
      <c r="O60" s="8" t="s">
        <v>331</v>
      </c>
      <c r="P60" s="6" t="str">
        <f t="shared" si="7"/>
        <v>Markarealer</v>
      </c>
      <c r="Q60" s="8" t="s">
        <v>329</v>
      </c>
      <c r="R60" s="6" t="str">
        <f t="shared" si="8"/>
        <v>Mark</v>
      </c>
      <c r="S60" s="8" t="s">
        <v>324</v>
      </c>
      <c r="T60" s="8">
        <f t="shared" si="9"/>
        <v>8000</v>
      </c>
      <c r="U60" s="8" t="s">
        <v>325</v>
      </c>
      <c r="V60" s="8" t="str">
        <f t="shared" si="10"/>
        <v>Aarhus C</v>
      </c>
      <c r="W60" s="8" t="s">
        <v>329</v>
      </c>
      <c r="X60" s="8">
        <f t="shared" si="11"/>
        <v>0</v>
      </c>
      <c r="Y60" s="8" t="s">
        <v>332</v>
      </c>
      <c r="Z60" s="8" t="str">
        <f t="shared" si="12"/>
        <v>Ja</v>
      </c>
      <c r="AA60" s="6" t="s">
        <v>334</v>
      </c>
      <c r="AB60" s="7"/>
      <c r="AD60" t="s">
        <v>322</v>
      </c>
      <c r="AE60" t="str">
        <f t="shared" si="18"/>
        <v>Markarealer</v>
      </c>
      <c r="AF60" s="4" t="s">
        <v>323</v>
      </c>
      <c r="AG60" t="str">
        <f t="shared" si="19"/>
        <v>Mark</v>
      </c>
      <c r="AH60" s="4" t="s">
        <v>324</v>
      </c>
      <c r="AI60">
        <f t="shared" si="20"/>
        <v>8000</v>
      </c>
      <c r="AJ60" t="s">
        <v>325</v>
      </c>
      <c r="AK60" t="str">
        <f t="shared" si="21"/>
        <v>Aarhus C</v>
      </c>
      <c r="AL60" s="4" t="s">
        <v>324</v>
      </c>
      <c r="AM60">
        <f t="shared" si="22"/>
        <v>99999999</v>
      </c>
      <c r="AN60" t="s">
        <v>326</v>
      </c>
      <c r="AO60">
        <v>1</v>
      </c>
      <c r="AP60" t="s">
        <v>327</v>
      </c>
    </row>
    <row r="61" spans="1:42" ht="91.8" x14ac:dyDescent="0.2">
      <c r="A61" s="3">
        <v>1486</v>
      </c>
      <c r="B61" s="3" t="s">
        <v>279</v>
      </c>
      <c r="C61" s="3" t="s">
        <v>280</v>
      </c>
      <c r="D61" s="3" t="s">
        <v>33</v>
      </c>
      <c r="E61" s="3" t="s">
        <v>281</v>
      </c>
      <c r="F61" s="3">
        <v>8530</v>
      </c>
      <c r="G61" s="3" t="s">
        <v>116</v>
      </c>
      <c r="H61" s="3">
        <v>86226068</v>
      </c>
      <c r="I61" s="3" t="s">
        <v>14</v>
      </c>
      <c r="J61" s="6" t="s">
        <v>333</v>
      </c>
      <c r="K61" s="6" t="s">
        <v>328</v>
      </c>
      <c r="L61" s="6" t="str">
        <f t="shared" si="5"/>
        <v>Mejlbyvej 606, Lars Gravco</v>
      </c>
      <c r="M61" s="8" t="s">
        <v>330</v>
      </c>
      <c r="N61" s="6" t="str">
        <f t="shared" si="6"/>
        <v>JORDTIP</v>
      </c>
      <c r="O61" s="8" t="s">
        <v>331</v>
      </c>
      <c r="P61" s="6" t="str">
        <f t="shared" si="7"/>
        <v>Mejlbyvej 606, Lars Gravco</v>
      </c>
      <c r="Q61" s="8" t="s">
        <v>329</v>
      </c>
      <c r="R61" s="6" t="str">
        <f t="shared" si="8"/>
        <v>Mejlbyvej 606</v>
      </c>
      <c r="S61" s="8" t="s">
        <v>324</v>
      </c>
      <c r="T61" s="8">
        <f t="shared" si="9"/>
        <v>8530</v>
      </c>
      <c r="U61" s="8" t="s">
        <v>325</v>
      </c>
      <c r="V61" s="8" t="str">
        <f t="shared" si="10"/>
        <v>Hjortshøj</v>
      </c>
      <c r="W61" s="8" t="s">
        <v>329</v>
      </c>
      <c r="X61" s="8" t="str">
        <f t="shared" si="11"/>
        <v>5f Benstrup By, Todbjerg</v>
      </c>
      <c r="Y61" s="8" t="s">
        <v>332</v>
      </c>
      <c r="Z61" s="8" t="str">
        <f t="shared" si="12"/>
        <v>Ja</v>
      </c>
      <c r="AA61" s="6" t="s">
        <v>334</v>
      </c>
      <c r="AB61" s="6"/>
      <c r="AD61" t="s">
        <v>322</v>
      </c>
      <c r="AE61" t="str">
        <f t="shared" si="18"/>
        <v>Mejlbyvej 606, Lars Gravco</v>
      </c>
      <c r="AF61" s="4" t="s">
        <v>323</v>
      </c>
      <c r="AG61" t="str">
        <f t="shared" si="19"/>
        <v>Mejlbyvej 606</v>
      </c>
      <c r="AH61" s="4" t="s">
        <v>324</v>
      </c>
      <c r="AI61">
        <f t="shared" si="20"/>
        <v>8530</v>
      </c>
      <c r="AJ61" t="s">
        <v>325</v>
      </c>
      <c r="AK61" t="str">
        <f t="shared" si="21"/>
        <v>Hjortshøj</v>
      </c>
      <c r="AL61" s="4" t="s">
        <v>324</v>
      </c>
      <c r="AM61">
        <f t="shared" si="22"/>
        <v>86226068</v>
      </c>
      <c r="AN61" t="s">
        <v>326</v>
      </c>
      <c r="AO61">
        <v>1</v>
      </c>
      <c r="AP61" t="s">
        <v>327</v>
      </c>
    </row>
    <row r="62" spans="1:42" ht="91.8" x14ac:dyDescent="0.2">
      <c r="A62" s="3">
        <v>344</v>
      </c>
      <c r="B62" s="3" t="s">
        <v>90</v>
      </c>
      <c r="C62" s="3"/>
      <c r="D62" s="3" t="s">
        <v>17</v>
      </c>
      <c r="E62" s="3" t="s">
        <v>91</v>
      </c>
      <c r="F62" s="3">
        <v>6200</v>
      </c>
      <c r="G62" s="3" t="s">
        <v>92</v>
      </c>
      <c r="H62" s="3">
        <v>74337200</v>
      </c>
      <c r="I62" s="3" t="s">
        <v>14</v>
      </c>
      <c r="J62" s="6" t="s">
        <v>333</v>
      </c>
      <c r="K62" s="6" t="s">
        <v>328</v>
      </c>
      <c r="L62" s="6" t="str">
        <f t="shared" si="5"/>
        <v>Meldgaard Miljø A/S</v>
      </c>
      <c r="M62" s="8" t="s">
        <v>330</v>
      </c>
      <c r="N62" s="6" t="str">
        <f t="shared" si="6"/>
        <v>JORDRENSNING</v>
      </c>
      <c r="O62" s="8" t="s">
        <v>331</v>
      </c>
      <c r="P62" s="6" t="str">
        <f t="shared" si="7"/>
        <v>Meldgaard Miljø A/S</v>
      </c>
      <c r="Q62" s="8" t="s">
        <v>329</v>
      </c>
      <c r="R62" s="6" t="str">
        <f t="shared" si="8"/>
        <v>Askelund 10</v>
      </c>
      <c r="S62" s="8" t="s">
        <v>324</v>
      </c>
      <c r="T62" s="8">
        <f t="shared" si="9"/>
        <v>6200</v>
      </c>
      <c r="U62" s="8" t="s">
        <v>325</v>
      </c>
      <c r="V62" s="8" t="str">
        <f t="shared" si="10"/>
        <v>Aabenraa</v>
      </c>
      <c r="W62" s="8" t="s">
        <v>329</v>
      </c>
      <c r="X62" s="8">
        <f t="shared" si="11"/>
        <v>0</v>
      </c>
      <c r="Y62" s="8" t="s">
        <v>332</v>
      </c>
      <c r="Z62" s="8" t="str">
        <f t="shared" si="12"/>
        <v>Ja</v>
      </c>
      <c r="AA62" s="6" t="s">
        <v>334</v>
      </c>
      <c r="AB62" s="6"/>
      <c r="AD62" t="s">
        <v>322</v>
      </c>
      <c r="AE62" t="str">
        <f t="shared" si="18"/>
        <v>Meldgaard Miljø A/S</v>
      </c>
      <c r="AF62" s="4" t="s">
        <v>323</v>
      </c>
      <c r="AG62" t="str">
        <f t="shared" si="19"/>
        <v>Askelund 10</v>
      </c>
      <c r="AH62" s="4" t="s">
        <v>324</v>
      </c>
      <c r="AI62">
        <f t="shared" si="20"/>
        <v>6200</v>
      </c>
      <c r="AJ62" t="s">
        <v>325</v>
      </c>
      <c r="AK62" t="str">
        <f t="shared" si="21"/>
        <v>Aabenraa</v>
      </c>
      <c r="AL62" s="4" t="s">
        <v>324</v>
      </c>
      <c r="AM62">
        <f t="shared" si="22"/>
        <v>74337200</v>
      </c>
      <c r="AN62" t="s">
        <v>326</v>
      </c>
      <c r="AO62">
        <v>1</v>
      </c>
      <c r="AP62" t="s">
        <v>327</v>
      </c>
    </row>
    <row r="63" spans="1:42" ht="91.8" x14ac:dyDescent="0.2">
      <c r="A63" s="2">
        <v>404</v>
      </c>
      <c r="B63" s="2" t="s">
        <v>100</v>
      </c>
      <c r="C63" s="2" t="s">
        <v>101</v>
      </c>
      <c r="D63" s="2" t="s">
        <v>11</v>
      </c>
      <c r="E63" s="2" t="s">
        <v>102</v>
      </c>
      <c r="F63" s="2">
        <v>8000</v>
      </c>
      <c r="G63" s="2" t="s">
        <v>35</v>
      </c>
      <c r="H63" s="2">
        <v>87468888</v>
      </c>
      <c r="I63" s="2" t="s">
        <v>28</v>
      </c>
      <c r="J63" s="6" t="s">
        <v>333</v>
      </c>
      <c r="K63" s="6" t="s">
        <v>328</v>
      </c>
      <c r="L63" s="6" t="str">
        <f t="shared" si="5"/>
        <v>Mellemdeponi, Aarhus Østhavn</v>
      </c>
      <c r="M63" s="8" t="s">
        <v>330</v>
      </c>
      <c r="N63" s="6" t="str">
        <f t="shared" si="6"/>
        <v>MIDLERTIDIG OPLAG</v>
      </c>
      <c r="O63" s="8" t="s">
        <v>331</v>
      </c>
      <c r="P63" s="6" t="str">
        <f t="shared" si="7"/>
        <v>Mellemdeponi, Aarhus Østhavn</v>
      </c>
      <c r="Q63" s="8" t="s">
        <v>329</v>
      </c>
      <c r="R63" s="6" t="str">
        <f t="shared" si="8"/>
        <v>Østhavnsvej 33 -45</v>
      </c>
      <c r="S63" s="8" t="s">
        <v>324</v>
      </c>
      <c r="T63" s="8">
        <f t="shared" si="9"/>
        <v>8000</v>
      </c>
      <c r="U63" s="8" t="s">
        <v>325</v>
      </c>
      <c r="V63" s="8" t="str">
        <f t="shared" si="10"/>
        <v>Aarhus C</v>
      </c>
      <c r="W63" s="8" t="s">
        <v>329</v>
      </c>
      <c r="X63" s="8" t="str">
        <f t="shared" si="11"/>
        <v>2209, Århus Bygrunde</v>
      </c>
      <c r="Y63" s="8" t="s">
        <v>332</v>
      </c>
      <c r="Z63" s="8" t="str">
        <f t="shared" si="12"/>
        <v>Nej</v>
      </c>
      <c r="AA63" s="6" t="s">
        <v>334</v>
      </c>
      <c r="AB63" s="7"/>
      <c r="AD63" t="s">
        <v>322</v>
      </c>
      <c r="AE63" t="str">
        <f t="shared" si="18"/>
        <v>Mellemdeponi, Aarhus Østhavn</v>
      </c>
      <c r="AF63" s="4" t="s">
        <v>323</v>
      </c>
      <c r="AG63" t="str">
        <f t="shared" si="19"/>
        <v>Østhavnsvej 33 -45</v>
      </c>
      <c r="AH63" s="4" t="s">
        <v>324</v>
      </c>
      <c r="AI63">
        <f t="shared" si="20"/>
        <v>8000</v>
      </c>
      <c r="AJ63" t="s">
        <v>325</v>
      </c>
      <c r="AK63" t="str">
        <f t="shared" si="21"/>
        <v>Aarhus C</v>
      </c>
      <c r="AL63" s="4" t="s">
        <v>324</v>
      </c>
      <c r="AM63">
        <f t="shared" si="22"/>
        <v>87468888</v>
      </c>
      <c r="AN63" t="s">
        <v>326</v>
      </c>
      <c r="AO63">
        <v>0</v>
      </c>
      <c r="AP63" t="s">
        <v>327</v>
      </c>
    </row>
    <row r="64" spans="1:42" ht="91.8" x14ac:dyDescent="0.2">
      <c r="A64" s="3">
        <v>1446</v>
      </c>
      <c r="B64" s="3" t="s">
        <v>275</v>
      </c>
      <c r="C64" s="3"/>
      <c r="D64" s="3" t="s">
        <v>51</v>
      </c>
      <c r="E64" s="3" t="s">
        <v>34</v>
      </c>
      <c r="F64" s="3">
        <v>8000</v>
      </c>
      <c r="G64" s="3" t="s">
        <v>35</v>
      </c>
      <c r="H64" s="3">
        <v>20603754</v>
      </c>
      <c r="I64" s="3" t="s">
        <v>14</v>
      </c>
      <c r="J64" s="6" t="s">
        <v>333</v>
      </c>
      <c r="K64" s="6" t="s">
        <v>328</v>
      </c>
      <c r="L64" s="6" t="str">
        <f t="shared" si="5"/>
        <v>Miljøhavnsbassinet (bassin 13)</v>
      </c>
      <c r="M64" s="8" t="s">
        <v>330</v>
      </c>
      <c r="N64" s="6" t="str">
        <f t="shared" si="6"/>
        <v>RENJORDSTIP</v>
      </c>
      <c r="O64" s="8" t="s">
        <v>331</v>
      </c>
      <c r="P64" s="6" t="str">
        <f t="shared" si="7"/>
        <v>Miljøhavnsbassinet (bassin 13)</v>
      </c>
      <c r="Q64" s="8" t="s">
        <v>329</v>
      </c>
      <c r="R64" s="6" t="str">
        <f t="shared" si="8"/>
        <v>Østhavnsvej</v>
      </c>
      <c r="S64" s="8" t="s">
        <v>324</v>
      </c>
      <c r="T64" s="8">
        <f t="shared" si="9"/>
        <v>8000</v>
      </c>
      <c r="U64" s="8" t="s">
        <v>325</v>
      </c>
      <c r="V64" s="8" t="str">
        <f t="shared" si="10"/>
        <v>Aarhus C</v>
      </c>
      <c r="W64" s="8" t="s">
        <v>329</v>
      </c>
      <c r="X64" s="8">
        <f t="shared" si="11"/>
        <v>0</v>
      </c>
      <c r="Y64" s="8" t="s">
        <v>332</v>
      </c>
      <c r="Z64" s="8" t="str">
        <f t="shared" si="12"/>
        <v>Ja</v>
      </c>
      <c r="AA64" s="6" t="s">
        <v>334</v>
      </c>
      <c r="AB64" s="6"/>
      <c r="AD64" t="s">
        <v>322</v>
      </c>
      <c r="AE64" t="str">
        <f t="shared" si="18"/>
        <v>Miljøhavnsbassinet (bassin 13)</v>
      </c>
      <c r="AF64" s="4" t="s">
        <v>323</v>
      </c>
      <c r="AG64" t="str">
        <f t="shared" si="19"/>
        <v>Østhavnsvej</v>
      </c>
      <c r="AH64" s="4" t="s">
        <v>324</v>
      </c>
      <c r="AI64">
        <f t="shared" si="20"/>
        <v>8000</v>
      </c>
      <c r="AJ64" t="s">
        <v>325</v>
      </c>
      <c r="AK64" t="str">
        <f t="shared" si="21"/>
        <v>Aarhus C</v>
      </c>
      <c r="AL64" s="4" t="s">
        <v>324</v>
      </c>
      <c r="AM64">
        <f t="shared" si="22"/>
        <v>20603754</v>
      </c>
      <c r="AN64" t="s">
        <v>326</v>
      </c>
      <c r="AO64">
        <v>1</v>
      </c>
      <c r="AP64" t="s">
        <v>327</v>
      </c>
    </row>
    <row r="65" spans="1:42" ht="91.8" x14ac:dyDescent="0.2">
      <c r="A65" s="3">
        <v>366</v>
      </c>
      <c r="B65" s="3" t="s">
        <v>97</v>
      </c>
      <c r="C65" s="3" t="s">
        <v>98</v>
      </c>
      <c r="D65" s="3" t="s">
        <v>51</v>
      </c>
      <c r="E65" s="3" t="s">
        <v>99</v>
      </c>
      <c r="F65" s="3">
        <v>8381</v>
      </c>
      <c r="G65" s="3" t="s">
        <v>66</v>
      </c>
      <c r="H65" s="3">
        <v>86242031</v>
      </c>
      <c r="I65" s="3" t="s">
        <v>14</v>
      </c>
      <c r="J65" s="6" t="s">
        <v>333</v>
      </c>
      <c r="K65" s="6" t="s">
        <v>328</v>
      </c>
      <c r="L65" s="6" t="str">
        <f t="shared" si="5"/>
        <v>Mogens Wacherhausen</v>
      </c>
      <c r="M65" s="8" t="s">
        <v>330</v>
      </c>
      <c r="N65" s="6" t="str">
        <f t="shared" si="6"/>
        <v>RENJORDSTIP</v>
      </c>
      <c r="O65" s="8" t="s">
        <v>331</v>
      </c>
      <c r="P65" s="6" t="str">
        <f t="shared" si="7"/>
        <v>Mogens Wacherhausen</v>
      </c>
      <c r="Q65" s="8" t="s">
        <v>329</v>
      </c>
      <c r="R65" s="6" t="str">
        <f t="shared" si="8"/>
        <v>True Byvej 13</v>
      </c>
      <c r="S65" s="8" t="s">
        <v>324</v>
      </c>
      <c r="T65" s="8">
        <f t="shared" si="9"/>
        <v>8381</v>
      </c>
      <c r="U65" s="8" t="s">
        <v>325</v>
      </c>
      <c r="V65" s="8" t="str">
        <f t="shared" si="10"/>
        <v>Tilst</v>
      </c>
      <c r="W65" s="8" t="s">
        <v>329</v>
      </c>
      <c r="X65" s="8" t="str">
        <f t="shared" si="11"/>
        <v>8d True By, Brabrand</v>
      </c>
      <c r="Y65" s="8" t="s">
        <v>332</v>
      </c>
      <c r="Z65" s="8" t="str">
        <f t="shared" si="12"/>
        <v>Ja</v>
      </c>
      <c r="AA65" s="6" t="s">
        <v>334</v>
      </c>
      <c r="AB65" s="6"/>
      <c r="AD65" t="s">
        <v>322</v>
      </c>
      <c r="AE65" t="str">
        <f t="shared" si="18"/>
        <v>Mogens Wacherhausen</v>
      </c>
      <c r="AF65" s="4" t="s">
        <v>323</v>
      </c>
      <c r="AG65" t="str">
        <f t="shared" si="19"/>
        <v>True Byvej 13</v>
      </c>
      <c r="AH65" s="4" t="s">
        <v>324</v>
      </c>
      <c r="AI65">
        <f t="shared" si="20"/>
        <v>8381</v>
      </c>
      <c r="AJ65" t="s">
        <v>325</v>
      </c>
      <c r="AK65" t="str">
        <f t="shared" si="21"/>
        <v>Tilst</v>
      </c>
      <c r="AL65" s="4" t="s">
        <v>324</v>
      </c>
      <c r="AM65">
        <f t="shared" si="22"/>
        <v>86242031</v>
      </c>
      <c r="AN65" t="s">
        <v>326</v>
      </c>
      <c r="AO65">
        <v>1</v>
      </c>
      <c r="AP65" t="s">
        <v>327</v>
      </c>
    </row>
    <row r="66" spans="1:42" ht="91.8" x14ac:dyDescent="0.2">
      <c r="A66" s="2">
        <v>184</v>
      </c>
      <c r="B66" s="2" t="s">
        <v>67</v>
      </c>
      <c r="C66" s="2"/>
      <c r="D66" s="2" t="s">
        <v>56</v>
      </c>
      <c r="E66" s="2" t="s">
        <v>68</v>
      </c>
      <c r="F66" s="2">
        <v>8520</v>
      </c>
      <c r="G66" s="2" t="s">
        <v>69</v>
      </c>
      <c r="H66" s="2">
        <v>40442369</v>
      </c>
      <c r="I66" s="2" t="s">
        <v>14</v>
      </c>
      <c r="J66" s="6" t="s">
        <v>333</v>
      </c>
      <c r="K66" s="6" t="s">
        <v>328</v>
      </c>
      <c r="L66" s="6" t="str">
        <f t="shared" si="5"/>
        <v>Motervejskonsortiet (Aarsleff-Arkil)</v>
      </c>
      <c r="M66" s="8" t="s">
        <v>330</v>
      </c>
      <c r="N66" s="6" t="str">
        <f t="shared" si="6"/>
        <v>GENANVENDELSE</v>
      </c>
      <c r="O66" s="8" t="s">
        <v>331</v>
      </c>
      <c r="P66" s="6" t="str">
        <f t="shared" si="7"/>
        <v>Motervejskonsortiet (Aarsleff-Arkil)</v>
      </c>
      <c r="Q66" s="8" t="s">
        <v>329</v>
      </c>
      <c r="R66" s="6" t="str">
        <f t="shared" si="8"/>
        <v>Læggaardsvej</v>
      </c>
      <c r="S66" s="8" t="s">
        <v>324</v>
      </c>
      <c r="T66" s="8">
        <f t="shared" si="9"/>
        <v>8520</v>
      </c>
      <c r="U66" s="8" t="s">
        <v>325</v>
      </c>
      <c r="V66" s="8" t="str">
        <f t="shared" si="10"/>
        <v>Lystrup</v>
      </c>
      <c r="W66" s="8" t="s">
        <v>329</v>
      </c>
      <c r="X66" s="8">
        <f t="shared" si="11"/>
        <v>0</v>
      </c>
      <c r="Y66" s="8" t="s">
        <v>332</v>
      </c>
      <c r="Z66" s="8" t="str">
        <f t="shared" si="12"/>
        <v>Ja</v>
      </c>
      <c r="AA66" s="6" t="s">
        <v>334</v>
      </c>
      <c r="AB66" s="7"/>
      <c r="AD66" t="s">
        <v>322</v>
      </c>
      <c r="AE66" t="str">
        <f t="shared" si="18"/>
        <v>Motervejskonsortiet (Aarsleff-Arkil)</v>
      </c>
      <c r="AF66" s="4" t="s">
        <v>323</v>
      </c>
      <c r="AG66" t="str">
        <f t="shared" si="19"/>
        <v>Læggaardsvej</v>
      </c>
      <c r="AH66" s="4" t="s">
        <v>324</v>
      </c>
      <c r="AI66">
        <f t="shared" si="20"/>
        <v>8520</v>
      </c>
      <c r="AJ66" t="s">
        <v>325</v>
      </c>
      <c r="AK66" t="str">
        <f t="shared" si="21"/>
        <v>Lystrup</v>
      </c>
      <c r="AL66" s="4" t="s">
        <v>324</v>
      </c>
      <c r="AM66">
        <f t="shared" si="22"/>
        <v>40442369</v>
      </c>
      <c r="AN66" t="s">
        <v>326</v>
      </c>
      <c r="AO66">
        <v>1</v>
      </c>
      <c r="AP66" t="s">
        <v>327</v>
      </c>
    </row>
    <row r="67" spans="1:42" ht="91.8" x14ac:dyDescent="0.2">
      <c r="A67" s="2">
        <v>1306</v>
      </c>
      <c r="B67" s="2" t="s">
        <v>255</v>
      </c>
      <c r="C67" s="2"/>
      <c r="D67" s="2" t="s">
        <v>33</v>
      </c>
      <c r="E67" s="2" t="s">
        <v>256</v>
      </c>
      <c r="F67" s="2">
        <v>8000</v>
      </c>
      <c r="G67" s="2" t="s">
        <v>35</v>
      </c>
      <c r="H67" s="2">
        <v>30389816</v>
      </c>
      <c r="I67" s="2" t="s">
        <v>14</v>
      </c>
      <c r="J67" s="6" t="s">
        <v>333</v>
      </c>
      <c r="K67" s="6" t="s">
        <v>328</v>
      </c>
      <c r="L67" s="6" t="str">
        <f t="shared" ref="L67:L111" si="23">B67</f>
        <v>Navitas byggefelt - opfyldning i havnebassin</v>
      </c>
      <c r="M67" s="8" t="s">
        <v>330</v>
      </c>
      <c r="N67" s="6" t="str">
        <f t="shared" ref="N67:N111" si="24">D67</f>
        <v>JORDTIP</v>
      </c>
      <c r="O67" s="8" t="s">
        <v>331</v>
      </c>
      <c r="P67" s="6" t="str">
        <f t="shared" ref="P67:P111" si="25">B67</f>
        <v>Navitas byggefelt - opfyldning i havnebassin</v>
      </c>
      <c r="Q67" s="8" t="s">
        <v>329</v>
      </c>
      <c r="R67" s="6" t="str">
        <f t="shared" ref="R67:R111" si="26">E67</f>
        <v>Nordhavnsgade</v>
      </c>
      <c r="S67" s="8" t="s">
        <v>324</v>
      </c>
      <c r="T67" s="8">
        <f t="shared" ref="T67:T111" si="27">F67</f>
        <v>8000</v>
      </c>
      <c r="U67" s="8" t="s">
        <v>325</v>
      </c>
      <c r="V67" s="8" t="str">
        <f t="shared" ref="V67:V111" si="28">G67</f>
        <v>Aarhus C</v>
      </c>
      <c r="W67" s="8" t="s">
        <v>329</v>
      </c>
      <c r="X67" s="8">
        <f t="shared" ref="X67:X111" si="29">C67</f>
        <v>0</v>
      </c>
      <c r="Y67" s="8" t="s">
        <v>332</v>
      </c>
      <c r="Z67" s="8" t="str">
        <f t="shared" ref="Z67:Z111" si="30">I67</f>
        <v>Ja</v>
      </c>
      <c r="AA67" s="6" t="s">
        <v>334</v>
      </c>
      <c r="AB67" s="7"/>
      <c r="AD67" t="s">
        <v>322</v>
      </c>
      <c r="AE67" t="str">
        <f t="shared" si="18"/>
        <v>Navitas byggefelt - opfyldning i havnebassin</v>
      </c>
      <c r="AF67" s="4" t="s">
        <v>323</v>
      </c>
      <c r="AG67" t="str">
        <f t="shared" si="19"/>
        <v>Nordhavnsgade</v>
      </c>
      <c r="AH67" s="4" t="s">
        <v>324</v>
      </c>
      <c r="AI67">
        <f t="shared" si="20"/>
        <v>8000</v>
      </c>
      <c r="AJ67" t="s">
        <v>325</v>
      </c>
      <c r="AK67" t="str">
        <f t="shared" si="21"/>
        <v>Aarhus C</v>
      </c>
      <c r="AL67" s="4" t="s">
        <v>324</v>
      </c>
      <c r="AM67">
        <f t="shared" si="22"/>
        <v>30389816</v>
      </c>
      <c r="AN67" t="s">
        <v>326</v>
      </c>
      <c r="AO67">
        <v>1</v>
      </c>
      <c r="AP67" t="s">
        <v>327</v>
      </c>
    </row>
    <row r="68" spans="1:42" ht="91.8" x14ac:dyDescent="0.2">
      <c r="A68" s="2">
        <v>124</v>
      </c>
      <c r="B68" s="2" t="s">
        <v>55</v>
      </c>
      <c r="C68" s="2"/>
      <c r="D68" s="2" t="s">
        <v>56</v>
      </c>
      <c r="E68" s="2" t="s">
        <v>57</v>
      </c>
      <c r="F68" s="2">
        <v>6000</v>
      </c>
      <c r="G68" s="2" t="s">
        <v>22</v>
      </c>
      <c r="H68" s="2">
        <v>99999999</v>
      </c>
      <c r="I68" s="2" t="s">
        <v>14</v>
      </c>
      <c r="J68" s="6" t="s">
        <v>333</v>
      </c>
      <c r="K68" s="6" t="s">
        <v>328</v>
      </c>
      <c r="L68" s="6" t="str">
        <f t="shared" si="23"/>
        <v>NCC Roads A/S, Vejservice</v>
      </c>
      <c r="M68" s="8" t="s">
        <v>330</v>
      </c>
      <c r="N68" s="6" t="str">
        <f t="shared" si="24"/>
        <v>GENANVENDELSE</v>
      </c>
      <c r="O68" s="8" t="s">
        <v>331</v>
      </c>
      <c r="P68" s="6" t="str">
        <f t="shared" si="25"/>
        <v>NCC Roads A/S, Vejservice</v>
      </c>
      <c r="Q68" s="8" t="s">
        <v>329</v>
      </c>
      <c r="R68" s="6" t="str">
        <f t="shared" si="26"/>
        <v>Metalvej 1</v>
      </c>
      <c r="S68" s="8" t="s">
        <v>324</v>
      </c>
      <c r="T68" s="8">
        <f t="shared" si="27"/>
        <v>6000</v>
      </c>
      <c r="U68" s="8" t="s">
        <v>325</v>
      </c>
      <c r="V68" s="8" t="str">
        <f t="shared" si="28"/>
        <v>Kolding</v>
      </c>
      <c r="W68" s="8" t="s">
        <v>329</v>
      </c>
      <c r="X68" s="8">
        <f t="shared" si="29"/>
        <v>0</v>
      </c>
      <c r="Y68" s="8" t="s">
        <v>332</v>
      </c>
      <c r="Z68" s="8" t="str">
        <f t="shared" si="30"/>
        <v>Ja</v>
      </c>
      <c r="AA68" s="6" t="s">
        <v>334</v>
      </c>
      <c r="AB68" s="7"/>
      <c r="AD68" t="s">
        <v>322</v>
      </c>
      <c r="AE68" t="str">
        <f t="shared" si="18"/>
        <v>NCC Roads A/S, Vejservice</v>
      </c>
      <c r="AF68" s="4" t="s">
        <v>323</v>
      </c>
      <c r="AG68" t="str">
        <f t="shared" si="19"/>
        <v>Metalvej 1</v>
      </c>
      <c r="AH68" s="4" t="s">
        <v>324</v>
      </c>
      <c r="AI68">
        <f t="shared" si="20"/>
        <v>6000</v>
      </c>
      <c r="AJ68" t="s">
        <v>325</v>
      </c>
      <c r="AK68" t="str">
        <f t="shared" si="21"/>
        <v>Kolding</v>
      </c>
      <c r="AL68" s="4" t="s">
        <v>324</v>
      </c>
      <c r="AM68">
        <f t="shared" si="22"/>
        <v>99999999</v>
      </c>
      <c r="AN68" t="s">
        <v>326</v>
      </c>
      <c r="AO68">
        <v>1</v>
      </c>
      <c r="AP68" t="s">
        <v>327</v>
      </c>
    </row>
    <row r="69" spans="1:42" ht="91.8" x14ac:dyDescent="0.2">
      <c r="A69" s="2">
        <v>924</v>
      </c>
      <c r="B69" s="2" t="s">
        <v>181</v>
      </c>
      <c r="C69" s="2"/>
      <c r="D69" s="2" t="s">
        <v>51</v>
      </c>
      <c r="E69" s="2" t="s">
        <v>182</v>
      </c>
      <c r="F69" s="2">
        <v>8752</v>
      </c>
      <c r="G69" s="2" t="s">
        <v>183</v>
      </c>
      <c r="H69" s="2">
        <v>86756680</v>
      </c>
      <c r="I69" s="2" t="s">
        <v>14</v>
      </c>
      <c r="J69" s="6" t="s">
        <v>333</v>
      </c>
      <c r="K69" s="6" t="s">
        <v>328</v>
      </c>
      <c r="L69" s="6" t="str">
        <f t="shared" si="23"/>
        <v>NCC, Vestbirk Grusgrav</v>
      </c>
      <c r="M69" s="8" t="s">
        <v>330</v>
      </c>
      <c r="N69" s="6" t="str">
        <f t="shared" si="24"/>
        <v>RENJORDSTIP</v>
      </c>
      <c r="O69" s="8" t="s">
        <v>331</v>
      </c>
      <c r="P69" s="6" t="str">
        <f t="shared" si="25"/>
        <v>NCC, Vestbirk Grusgrav</v>
      </c>
      <c r="Q69" s="8" t="s">
        <v>329</v>
      </c>
      <c r="R69" s="6" t="str">
        <f t="shared" si="26"/>
        <v>Ryvej 47</v>
      </c>
      <c r="S69" s="8" t="s">
        <v>324</v>
      </c>
      <c r="T69" s="8">
        <f t="shared" si="27"/>
        <v>8752</v>
      </c>
      <c r="U69" s="8" t="s">
        <v>325</v>
      </c>
      <c r="V69" s="8" t="str">
        <f t="shared" si="28"/>
        <v>Østbirk</v>
      </c>
      <c r="W69" s="8" t="s">
        <v>329</v>
      </c>
      <c r="X69" s="8">
        <f t="shared" si="29"/>
        <v>0</v>
      </c>
      <c r="Y69" s="8" t="s">
        <v>332</v>
      </c>
      <c r="Z69" s="8" t="str">
        <f t="shared" si="30"/>
        <v>Ja</v>
      </c>
      <c r="AA69" s="6" t="s">
        <v>334</v>
      </c>
      <c r="AB69" s="7"/>
      <c r="AD69" t="s">
        <v>322</v>
      </c>
      <c r="AE69" t="str">
        <f t="shared" si="18"/>
        <v>NCC, Vestbirk Grusgrav</v>
      </c>
      <c r="AF69" s="4" t="s">
        <v>323</v>
      </c>
      <c r="AG69" t="str">
        <f t="shared" si="19"/>
        <v>Ryvej 47</v>
      </c>
      <c r="AH69" s="4" t="s">
        <v>324</v>
      </c>
      <c r="AI69">
        <f t="shared" si="20"/>
        <v>8752</v>
      </c>
      <c r="AJ69" t="s">
        <v>325</v>
      </c>
      <c r="AK69" t="str">
        <f t="shared" si="21"/>
        <v>Østbirk</v>
      </c>
      <c r="AL69" s="4" t="s">
        <v>324</v>
      </c>
      <c r="AM69">
        <f t="shared" si="22"/>
        <v>86756680</v>
      </c>
      <c r="AN69" t="s">
        <v>326</v>
      </c>
      <c r="AO69">
        <v>1</v>
      </c>
      <c r="AP69" t="s">
        <v>327</v>
      </c>
    </row>
    <row r="70" spans="1:42" ht="91.8" x14ac:dyDescent="0.2">
      <c r="A70" s="2">
        <v>1166</v>
      </c>
      <c r="B70" s="2" t="s">
        <v>237</v>
      </c>
      <c r="C70" s="2" t="s">
        <v>238</v>
      </c>
      <c r="D70" s="2" t="s">
        <v>33</v>
      </c>
      <c r="E70" s="2" t="s">
        <v>239</v>
      </c>
      <c r="F70" s="2">
        <v>8530</v>
      </c>
      <c r="G70" s="2" t="s">
        <v>116</v>
      </c>
      <c r="H70" s="2">
        <v>86991220</v>
      </c>
      <c r="I70" s="2" t="s">
        <v>14</v>
      </c>
      <c r="J70" s="6" t="s">
        <v>333</v>
      </c>
      <c r="K70" s="6" t="s">
        <v>328</v>
      </c>
      <c r="L70" s="6" t="str">
        <f t="shared" si="23"/>
        <v>Niels Christian Lund Nielsen</v>
      </c>
      <c r="M70" s="8" t="s">
        <v>330</v>
      </c>
      <c r="N70" s="6" t="str">
        <f t="shared" si="24"/>
        <v>JORDTIP</v>
      </c>
      <c r="O70" s="8" t="s">
        <v>331</v>
      </c>
      <c r="P70" s="6" t="str">
        <f t="shared" si="25"/>
        <v>Niels Christian Lund Nielsen</v>
      </c>
      <c r="Q70" s="8" t="s">
        <v>329</v>
      </c>
      <c r="R70" s="6" t="str">
        <f t="shared" si="26"/>
        <v>Gammelvej 4</v>
      </c>
      <c r="S70" s="8" t="s">
        <v>324</v>
      </c>
      <c r="T70" s="8">
        <f t="shared" si="27"/>
        <v>8530</v>
      </c>
      <c r="U70" s="8" t="s">
        <v>325</v>
      </c>
      <c r="V70" s="8" t="str">
        <f t="shared" si="28"/>
        <v>Hjortshøj</v>
      </c>
      <c r="W70" s="8" t="s">
        <v>329</v>
      </c>
      <c r="X70" s="8" t="str">
        <f t="shared" si="29"/>
        <v>1d Grøttrup By, Todbjerg</v>
      </c>
      <c r="Y70" s="8" t="s">
        <v>332</v>
      </c>
      <c r="Z70" s="8" t="str">
        <f t="shared" si="30"/>
        <v>Ja</v>
      </c>
      <c r="AA70" s="6" t="s">
        <v>334</v>
      </c>
      <c r="AB70" s="7"/>
      <c r="AD70" t="s">
        <v>322</v>
      </c>
      <c r="AE70" t="str">
        <f t="shared" si="18"/>
        <v>Niels Christian Lund Nielsen</v>
      </c>
      <c r="AF70" s="4" t="s">
        <v>323</v>
      </c>
      <c r="AG70" t="str">
        <f t="shared" si="19"/>
        <v>Gammelvej 4</v>
      </c>
      <c r="AH70" s="4" t="s">
        <v>324</v>
      </c>
      <c r="AI70">
        <f t="shared" si="20"/>
        <v>8530</v>
      </c>
      <c r="AJ70" t="s">
        <v>325</v>
      </c>
      <c r="AK70" t="str">
        <f t="shared" si="21"/>
        <v>Hjortshøj</v>
      </c>
      <c r="AL70" s="4" t="s">
        <v>324</v>
      </c>
      <c r="AM70">
        <f t="shared" si="22"/>
        <v>86991220</v>
      </c>
      <c r="AN70" t="s">
        <v>326</v>
      </c>
      <c r="AO70">
        <v>1</v>
      </c>
      <c r="AP70" t="s">
        <v>327</v>
      </c>
    </row>
    <row r="71" spans="1:42" ht="91.8" x14ac:dyDescent="0.2">
      <c r="A71" s="3">
        <v>1366</v>
      </c>
      <c r="B71" s="3" t="s">
        <v>264</v>
      </c>
      <c r="C71" s="3"/>
      <c r="D71" s="3" t="s">
        <v>17</v>
      </c>
      <c r="E71" s="3" t="s">
        <v>265</v>
      </c>
      <c r="F71" s="3">
        <v>7600</v>
      </c>
      <c r="G71" s="3" t="s">
        <v>266</v>
      </c>
      <c r="H71" s="3">
        <v>97865256</v>
      </c>
      <c r="I71" s="3" t="s">
        <v>14</v>
      </c>
      <c r="J71" s="6" t="s">
        <v>333</v>
      </c>
      <c r="K71" s="6" t="s">
        <v>328</v>
      </c>
      <c r="L71" s="6" t="str">
        <f t="shared" si="23"/>
        <v>Nomi Vækst</v>
      </c>
      <c r="M71" s="8" t="s">
        <v>330</v>
      </c>
      <c r="N71" s="6" t="str">
        <f t="shared" si="24"/>
        <v>JORDRENSNING</v>
      </c>
      <c r="O71" s="8" t="s">
        <v>331</v>
      </c>
      <c r="P71" s="6" t="str">
        <f t="shared" si="25"/>
        <v>Nomi Vækst</v>
      </c>
      <c r="Q71" s="8" t="s">
        <v>329</v>
      </c>
      <c r="R71" s="6" t="str">
        <f t="shared" si="26"/>
        <v>Kilenvej 18</v>
      </c>
      <c r="S71" s="8" t="s">
        <v>324</v>
      </c>
      <c r="T71" s="8">
        <f t="shared" si="27"/>
        <v>7600</v>
      </c>
      <c r="U71" s="8" t="s">
        <v>325</v>
      </c>
      <c r="V71" s="8" t="str">
        <f t="shared" si="28"/>
        <v>Struer</v>
      </c>
      <c r="W71" s="8" t="s">
        <v>329</v>
      </c>
      <c r="X71" s="8">
        <f t="shared" si="29"/>
        <v>0</v>
      </c>
      <c r="Y71" s="8" t="s">
        <v>332</v>
      </c>
      <c r="Z71" s="8" t="str">
        <f t="shared" si="30"/>
        <v>Ja</v>
      </c>
      <c r="AA71" s="6" t="s">
        <v>334</v>
      </c>
      <c r="AB71" s="6"/>
      <c r="AD71" t="s">
        <v>322</v>
      </c>
      <c r="AE71" t="str">
        <f t="shared" si="18"/>
        <v>Nomi Vækst</v>
      </c>
      <c r="AF71" s="4" t="s">
        <v>323</v>
      </c>
      <c r="AG71" t="str">
        <f t="shared" si="19"/>
        <v>Kilenvej 18</v>
      </c>
      <c r="AH71" s="4" t="s">
        <v>324</v>
      </c>
      <c r="AI71">
        <f t="shared" si="20"/>
        <v>7600</v>
      </c>
      <c r="AJ71" t="s">
        <v>325</v>
      </c>
      <c r="AK71" t="str">
        <f t="shared" si="21"/>
        <v>Struer</v>
      </c>
      <c r="AL71" s="4" t="s">
        <v>324</v>
      </c>
      <c r="AM71">
        <f t="shared" si="22"/>
        <v>97865256</v>
      </c>
      <c r="AN71" t="s">
        <v>326</v>
      </c>
      <c r="AO71">
        <v>1</v>
      </c>
      <c r="AP71" t="s">
        <v>327</v>
      </c>
    </row>
    <row r="72" spans="1:42" ht="91.8" x14ac:dyDescent="0.2">
      <c r="A72" s="3">
        <v>1146</v>
      </c>
      <c r="B72" s="3" t="s">
        <v>234</v>
      </c>
      <c r="C72" s="3" t="s">
        <v>235</v>
      </c>
      <c r="D72" s="3" t="s">
        <v>33</v>
      </c>
      <c r="E72" s="3" t="s">
        <v>236</v>
      </c>
      <c r="F72" s="3">
        <v>8260</v>
      </c>
      <c r="G72" s="3" t="s">
        <v>46</v>
      </c>
      <c r="H72" s="3">
        <v>22236506</v>
      </c>
      <c r="I72" s="3" t="s">
        <v>28</v>
      </c>
      <c r="J72" s="6" t="s">
        <v>333</v>
      </c>
      <c r="K72" s="6" t="s">
        <v>328</v>
      </c>
      <c r="L72" s="6" t="str">
        <f t="shared" si="23"/>
        <v>Nymølle Stenindustrier A/S</v>
      </c>
      <c r="M72" s="8" t="s">
        <v>330</v>
      </c>
      <c r="N72" s="6" t="str">
        <f t="shared" si="24"/>
        <v>JORDTIP</v>
      </c>
      <c r="O72" s="8" t="s">
        <v>331</v>
      </c>
      <c r="P72" s="6" t="str">
        <f t="shared" si="25"/>
        <v>Nymølle Stenindustrier A/S</v>
      </c>
      <c r="Q72" s="8" t="s">
        <v>329</v>
      </c>
      <c r="R72" s="6" t="str">
        <f t="shared" si="26"/>
        <v>Rismosevej 30(landzonetilladelse udløbet)</v>
      </c>
      <c r="S72" s="8" t="s">
        <v>324</v>
      </c>
      <c r="T72" s="8">
        <f t="shared" si="27"/>
        <v>8260</v>
      </c>
      <c r="U72" s="8" t="s">
        <v>325</v>
      </c>
      <c r="V72" s="8" t="str">
        <f t="shared" si="28"/>
        <v>Viby J</v>
      </c>
      <c r="W72" s="8" t="s">
        <v>329</v>
      </c>
      <c r="X72" s="8" t="str">
        <f t="shared" si="29"/>
        <v>8i Edslev By, Kolt</v>
      </c>
      <c r="Y72" s="8" t="s">
        <v>332</v>
      </c>
      <c r="Z72" s="8" t="str">
        <f t="shared" si="30"/>
        <v>Nej</v>
      </c>
      <c r="AA72" s="6" t="s">
        <v>334</v>
      </c>
      <c r="AB72" s="6"/>
      <c r="AD72" t="s">
        <v>322</v>
      </c>
      <c r="AE72" t="str">
        <f t="shared" si="18"/>
        <v>Nymølle Stenindustrier A/S</v>
      </c>
      <c r="AF72" s="4" t="s">
        <v>323</v>
      </c>
      <c r="AG72" t="str">
        <f t="shared" si="19"/>
        <v>Rismosevej 30(landzonetilladelse udløbet)</v>
      </c>
      <c r="AH72" s="4" t="s">
        <v>324</v>
      </c>
      <c r="AI72">
        <f t="shared" si="20"/>
        <v>8260</v>
      </c>
      <c r="AJ72" t="s">
        <v>325</v>
      </c>
      <c r="AK72" t="str">
        <f t="shared" si="21"/>
        <v>Viby J</v>
      </c>
      <c r="AL72" s="4" t="s">
        <v>324</v>
      </c>
      <c r="AM72">
        <f t="shared" si="22"/>
        <v>22236506</v>
      </c>
      <c r="AN72" t="s">
        <v>326</v>
      </c>
      <c r="AO72">
        <v>0</v>
      </c>
      <c r="AP72" t="s">
        <v>327</v>
      </c>
    </row>
    <row r="73" spans="1:42" ht="91.8" x14ac:dyDescent="0.2">
      <c r="A73" s="2">
        <v>1386</v>
      </c>
      <c r="B73" s="2" t="s">
        <v>267</v>
      </c>
      <c r="C73" s="2" t="s">
        <v>268</v>
      </c>
      <c r="D73" s="2" t="s">
        <v>33</v>
      </c>
      <c r="E73" s="2" t="s">
        <v>269</v>
      </c>
      <c r="F73" s="2">
        <v>8382</v>
      </c>
      <c r="G73" s="2" t="s">
        <v>89</v>
      </c>
      <c r="H73" s="2">
        <v>86981768</v>
      </c>
      <c r="I73" s="2" t="s">
        <v>14</v>
      </c>
      <c r="J73" s="6" t="s">
        <v>333</v>
      </c>
      <c r="K73" s="6" t="s">
        <v>328</v>
      </c>
      <c r="L73" s="6" t="str">
        <f t="shared" si="23"/>
        <v>Nørrerisvej Renjordstip</v>
      </c>
      <c r="M73" s="8" t="s">
        <v>330</v>
      </c>
      <c r="N73" s="6" t="str">
        <f t="shared" si="24"/>
        <v>JORDTIP</v>
      </c>
      <c r="O73" s="8" t="s">
        <v>331</v>
      </c>
      <c r="P73" s="6" t="str">
        <f t="shared" si="25"/>
        <v>Nørrerisvej Renjordstip</v>
      </c>
      <c r="Q73" s="8" t="s">
        <v>329</v>
      </c>
      <c r="R73" s="6" t="str">
        <f t="shared" si="26"/>
        <v>Nørrerisvej 7</v>
      </c>
      <c r="S73" s="8" t="s">
        <v>324</v>
      </c>
      <c r="T73" s="8">
        <f t="shared" si="27"/>
        <v>8382</v>
      </c>
      <c r="U73" s="8" t="s">
        <v>325</v>
      </c>
      <c r="V73" s="8" t="str">
        <f t="shared" si="28"/>
        <v>Hinnerup</v>
      </c>
      <c r="W73" s="8" t="s">
        <v>329</v>
      </c>
      <c r="X73" s="8" t="str">
        <f t="shared" si="29"/>
        <v>Asger Rye Andersen</v>
      </c>
      <c r="Y73" s="8" t="s">
        <v>332</v>
      </c>
      <c r="Z73" s="8" t="str">
        <f t="shared" si="30"/>
        <v>Ja</v>
      </c>
      <c r="AA73" s="6" t="s">
        <v>334</v>
      </c>
      <c r="AB73" s="7"/>
      <c r="AD73" t="s">
        <v>322</v>
      </c>
      <c r="AE73" t="str">
        <f t="shared" si="18"/>
        <v>Nørrerisvej Renjordstip</v>
      </c>
      <c r="AF73" s="4" t="s">
        <v>323</v>
      </c>
      <c r="AG73" t="str">
        <f t="shared" si="19"/>
        <v>Nørrerisvej 7</v>
      </c>
      <c r="AH73" s="4" t="s">
        <v>324</v>
      </c>
      <c r="AI73">
        <f t="shared" si="20"/>
        <v>8382</v>
      </c>
      <c r="AJ73" t="s">
        <v>325</v>
      </c>
      <c r="AK73" t="str">
        <f t="shared" si="21"/>
        <v>Hinnerup</v>
      </c>
      <c r="AL73" s="4" t="s">
        <v>324</v>
      </c>
      <c r="AM73">
        <f t="shared" si="22"/>
        <v>86981768</v>
      </c>
      <c r="AN73" t="s">
        <v>326</v>
      </c>
      <c r="AO73">
        <v>1</v>
      </c>
      <c r="AP73" t="s">
        <v>327</v>
      </c>
    </row>
    <row r="74" spans="1:42" ht="91.8" x14ac:dyDescent="0.2">
      <c r="A74" s="3">
        <v>1326</v>
      </c>
      <c r="B74" s="3" t="s">
        <v>257</v>
      </c>
      <c r="C74" s="3" t="s">
        <v>258</v>
      </c>
      <c r="D74" s="3" t="s">
        <v>33</v>
      </c>
      <c r="E74" s="3" t="s">
        <v>259</v>
      </c>
      <c r="F74" s="3">
        <v>8220</v>
      </c>
      <c r="G74" s="3" t="s">
        <v>260</v>
      </c>
      <c r="H74" s="3">
        <v>0</v>
      </c>
      <c r="I74" s="3" t="s">
        <v>28</v>
      </c>
      <c r="J74" s="6" t="s">
        <v>333</v>
      </c>
      <c r="K74" s="6" t="s">
        <v>328</v>
      </c>
      <c r="L74" s="6" t="str">
        <f t="shared" si="23"/>
        <v>Opfyld af svømmebassin</v>
      </c>
      <c r="M74" s="8" t="s">
        <v>330</v>
      </c>
      <c r="N74" s="6" t="str">
        <f t="shared" si="24"/>
        <v>JORDTIP</v>
      </c>
      <c r="O74" s="8" t="s">
        <v>331</v>
      </c>
      <c r="P74" s="6" t="str">
        <f t="shared" si="25"/>
        <v>Opfyld af svømmebassin</v>
      </c>
      <c r="Q74" s="8" t="s">
        <v>329</v>
      </c>
      <c r="R74" s="6" t="str">
        <f t="shared" si="26"/>
        <v>Lykkenshøj 25</v>
      </c>
      <c r="S74" s="8" t="s">
        <v>324</v>
      </c>
      <c r="T74" s="8">
        <f t="shared" si="27"/>
        <v>8220</v>
      </c>
      <c r="U74" s="8" t="s">
        <v>325</v>
      </c>
      <c r="V74" s="8" t="str">
        <f t="shared" si="28"/>
        <v>Brabrand</v>
      </c>
      <c r="W74" s="8" t="s">
        <v>329</v>
      </c>
      <c r="X74" s="8" t="str">
        <f t="shared" si="29"/>
        <v>12ei Brabrand By, Brabrand</v>
      </c>
      <c r="Y74" s="8" t="s">
        <v>332</v>
      </c>
      <c r="Z74" s="8" t="str">
        <f t="shared" si="30"/>
        <v>Nej</v>
      </c>
      <c r="AA74" s="6" t="s">
        <v>334</v>
      </c>
      <c r="AB74" s="6"/>
      <c r="AD74" t="s">
        <v>322</v>
      </c>
      <c r="AE74" t="str">
        <f t="shared" si="18"/>
        <v>Opfyld af svømmebassin</v>
      </c>
      <c r="AF74" s="4" t="s">
        <v>323</v>
      </c>
      <c r="AG74" t="str">
        <f t="shared" si="19"/>
        <v>Lykkenshøj 25</v>
      </c>
      <c r="AH74" s="4" t="s">
        <v>324</v>
      </c>
      <c r="AI74">
        <f t="shared" si="20"/>
        <v>8220</v>
      </c>
      <c r="AJ74" t="s">
        <v>325</v>
      </c>
      <c r="AK74" t="str">
        <f t="shared" si="21"/>
        <v>Brabrand</v>
      </c>
      <c r="AL74" s="4" t="s">
        <v>324</v>
      </c>
      <c r="AM74">
        <f t="shared" si="22"/>
        <v>0</v>
      </c>
      <c r="AN74" t="s">
        <v>326</v>
      </c>
      <c r="AO74">
        <v>0</v>
      </c>
      <c r="AP74" t="s">
        <v>327</v>
      </c>
    </row>
    <row r="75" spans="1:42" ht="91.8" x14ac:dyDescent="0.2">
      <c r="A75" s="3">
        <v>784</v>
      </c>
      <c r="B75" s="3" t="s">
        <v>160</v>
      </c>
      <c r="C75" s="3"/>
      <c r="D75" s="3" t="s">
        <v>11</v>
      </c>
      <c r="E75" s="3" t="s">
        <v>161</v>
      </c>
      <c r="F75" s="3">
        <v>8361</v>
      </c>
      <c r="G75" s="3" t="s">
        <v>121</v>
      </c>
      <c r="H75" s="3">
        <v>86281145</v>
      </c>
      <c r="I75" s="3" t="s">
        <v>14</v>
      </c>
      <c r="J75" s="6" t="s">
        <v>333</v>
      </c>
      <c r="K75" s="6" t="s">
        <v>328</v>
      </c>
      <c r="L75" s="6" t="str">
        <f t="shared" si="23"/>
        <v>P. Olesen &amp; Sønner - kun ren jord</v>
      </c>
      <c r="M75" s="8" t="s">
        <v>330</v>
      </c>
      <c r="N75" s="6" t="str">
        <f t="shared" si="24"/>
        <v>MIDLERTIDIG OPLAG</v>
      </c>
      <c r="O75" s="8" t="s">
        <v>331</v>
      </c>
      <c r="P75" s="6" t="str">
        <f t="shared" si="25"/>
        <v>P. Olesen &amp; Sønner - kun ren jord</v>
      </c>
      <c r="Q75" s="8" t="s">
        <v>329</v>
      </c>
      <c r="R75" s="6" t="str">
        <f t="shared" si="26"/>
        <v>Birkegårdsvej 38</v>
      </c>
      <c r="S75" s="8" t="s">
        <v>324</v>
      </c>
      <c r="T75" s="8">
        <f t="shared" si="27"/>
        <v>8361</v>
      </c>
      <c r="U75" s="8" t="s">
        <v>325</v>
      </c>
      <c r="V75" s="8" t="str">
        <f t="shared" si="28"/>
        <v>Hasselager</v>
      </c>
      <c r="W75" s="8" t="s">
        <v>329</v>
      </c>
      <c r="X75" s="8">
        <f t="shared" si="29"/>
        <v>0</v>
      </c>
      <c r="Y75" s="8" t="s">
        <v>332</v>
      </c>
      <c r="Z75" s="8" t="str">
        <f t="shared" si="30"/>
        <v>Ja</v>
      </c>
      <c r="AA75" s="6" t="s">
        <v>334</v>
      </c>
      <c r="AB75" s="6"/>
      <c r="AD75" t="s">
        <v>322</v>
      </c>
      <c r="AE75" t="str">
        <f t="shared" si="18"/>
        <v>P. Olesen &amp; Sønner - kun ren jord</v>
      </c>
      <c r="AF75" s="4" t="s">
        <v>323</v>
      </c>
      <c r="AG75" t="str">
        <f t="shared" si="19"/>
        <v>Birkegårdsvej 38</v>
      </c>
      <c r="AH75" s="4" t="s">
        <v>324</v>
      </c>
      <c r="AI75">
        <f t="shared" si="20"/>
        <v>8361</v>
      </c>
      <c r="AJ75" t="s">
        <v>325</v>
      </c>
      <c r="AK75" t="str">
        <f t="shared" si="21"/>
        <v>Hasselager</v>
      </c>
      <c r="AL75" s="4" t="s">
        <v>324</v>
      </c>
      <c r="AM75">
        <f t="shared" si="22"/>
        <v>86281145</v>
      </c>
      <c r="AN75" t="s">
        <v>326</v>
      </c>
      <c r="AO75">
        <v>1</v>
      </c>
      <c r="AP75" t="s">
        <v>327</v>
      </c>
    </row>
    <row r="76" spans="1:42" ht="91.8" x14ac:dyDescent="0.2">
      <c r="A76" s="3">
        <v>1104</v>
      </c>
      <c r="B76" s="3" t="s">
        <v>224</v>
      </c>
      <c r="C76" s="3"/>
      <c r="D76" s="3" t="s">
        <v>33</v>
      </c>
      <c r="E76" s="3" t="s">
        <v>225</v>
      </c>
      <c r="F76" s="3">
        <v>8382</v>
      </c>
      <c r="G76" s="3" t="s">
        <v>89</v>
      </c>
      <c r="H76" s="3">
        <v>0</v>
      </c>
      <c r="I76" s="3" t="s">
        <v>28</v>
      </c>
      <c r="J76" s="6" t="s">
        <v>333</v>
      </c>
      <c r="K76" s="6" t="s">
        <v>328</v>
      </c>
      <c r="L76" s="6" t="str">
        <f t="shared" si="23"/>
        <v>Peter Kaae Christensen</v>
      </c>
      <c r="M76" s="8" t="s">
        <v>330</v>
      </c>
      <c r="N76" s="6" t="str">
        <f t="shared" si="24"/>
        <v>JORDTIP</v>
      </c>
      <c r="O76" s="8" t="s">
        <v>331</v>
      </c>
      <c r="P76" s="6" t="str">
        <f t="shared" si="25"/>
        <v>Peter Kaae Christensen</v>
      </c>
      <c r="Q76" s="8" t="s">
        <v>329</v>
      </c>
      <c r="R76" s="6" t="str">
        <f t="shared" si="26"/>
        <v>Mølballe 12</v>
      </c>
      <c r="S76" s="8" t="s">
        <v>324</v>
      </c>
      <c r="T76" s="8">
        <f t="shared" si="27"/>
        <v>8382</v>
      </c>
      <c r="U76" s="8" t="s">
        <v>325</v>
      </c>
      <c r="V76" s="8" t="str">
        <f t="shared" si="28"/>
        <v>Hinnerup</v>
      </c>
      <c r="W76" s="8" t="s">
        <v>329</v>
      </c>
      <c r="X76" s="8">
        <f t="shared" si="29"/>
        <v>0</v>
      </c>
      <c r="Y76" s="8" t="s">
        <v>332</v>
      </c>
      <c r="Z76" s="8" t="str">
        <f t="shared" si="30"/>
        <v>Nej</v>
      </c>
      <c r="AA76" s="6" t="s">
        <v>334</v>
      </c>
      <c r="AB76" s="6"/>
      <c r="AD76" t="s">
        <v>322</v>
      </c>
      <c r="AE76" t="str">
        <f t="shared" si="18"/>
        <v>Peter Kaae Christensen</v>
      </c>
      <c r="AF76" s="4" t="s">
        <v>323</v>
      </c>
      <c r="AG76" t="str">
        <f t="shared" si="19"/>
        <v>Mølballe 12</v>
      </c>
      <c r="AH76" s="4" t="s">
        <v>324</v>
      </c>
      <c r="AI76">
        <f t="shared" si="20"/>
        <v>8382</v>
      </c>
      <c r="AJ76" t="s">
        <v>325</v>
      </c>
      <c r="AK76" t="str">
        <f t="shared" si="21"/>
        <v>Hinnerup</v>
      </c>
      <c r="AL76" s="4" t="s">
        <v>324</v>
      </c>
      <c r="AM76">
        <f t="shared" si="22"/>
        <v>0</v>
      </c>
      <c r="AN76" t="s">
        <v>326</v>
      </c>
      <c r="AO76">
        <v>0</v>
      </c>
      <c r="AP76" t="s">
        <v>327</v>
      </c>
    </row>
    <row r="77" spans="1:42" ht="91.8" x14ac:dyDescent="0.2">
      <c r="A77" s="2">
        <v>1501</v>
      </c>
      <c r="B77" s="2" t="s">
        <v>299</v>
      </c>
      <c r="C77" s="2" t="s">
        <v>300</v>
      </c>
      <c r="D77" s="2" t="s">
        <v>56</v>
      </c>
      <c r="E77" s="2" t="s">
        <v>301</v>
      </c>
      <c r="F77" s="2">
        <v>8960</v>
      </c>
      <c r="G77" s="2" t="s">
        <v>302</v>
      </c>
      <c r="H77" s="2">
        <v>89151841</v>
      </c>
      <c r="I77" s="2" t="s">
        <v>14</v>
      </c>
      <c r="J77" s="6" t="s">
        <v>333</v>
      </c>
      <c r="K77" s="6" t="s">
        <v>328</v>
      </c>
      <c r="L77" s="6" t="str">
        <f t="shared" si="23"/>
        <v>Randers Affaldsterminal</v>
      </c>
      <c r="M77" s="8" t="s">
        <v>330</v>
      </c>
      <c r="N77" s="6" t="str">
        <f t="shared" si="24"/>
        <v>GENANVENDELSE</v>
      </c>
      <c r="O77" s="8" t="s">
        <v>331</v>
      </c>
      <c r="P77" s="6" t="str">
        <f t="shared" si="25"/>
        <v>Randers Affaldsterminal</v>
      </c>
      <c r="Q77" s="8" t="s">
        <v>329</v>
      </c>
      <c r="R77" s="6" t="str">
        <f t="shared" si="26"/>
        <v>Romalt Boulevard 64</v>
      </c>
      <c r="S77" s="8" t="s">
        <v>324</v>
      </c>
      <c r="T77" s="8">
        <f t="shared" si="27"/>
        <v>8960</v>
      </c>
      <c r="U77" s="8" t="s">
        <v>325</v>
      </c>
      <c r="V77" s="8" t="str">
        <f t="shared" si="28"/>
        <v>Randers SØ</v>
      </c>
      <c r="W77" s="8" t="s">
        <v>329</v>
      </c>
      <c r="X77" s="8" t="str">
        <f t="shared" si="29"/>
        <v>Kontakt Mik Rasmussen</v>
      </c>
      <c r="Y77" s="8" t="s">
        <v>332</v>
      </c>
      <c r="Z77" s="8" t="str">
        <f t="shared" si="30"/>
        <v>Ja</v>
      </c>
      <c r="AA77" s="6" t="s">
        <v>334</v>
      </c>
      <c r="AB77" s="7"/>
      <c r="AD77" t="s">
        <v>322</v>
      </c>
      <c r="AE77" t="str">
        <f t="shared" si="18"/>
        <v>Randers Affaldsterminal</v>
      </c>
      <c r="AF77" s="4" t="s">
        <v>323</v>
      </c>
      <c r="AG77" t="str">
        <f t="shared" si="19"/>
        <v>Romalt Boulevard 64</v>
      </c>
      <c r="AH77" s="4" t="s">
        <v>324</v>
      </c>
      <c r="AI77">
        <f t="shared" si="20"/>
        <v>8960</v>
      </c>
      <c r="AJ77" t="s">
        <v>325</v>
      </c>
      <c r="AK77" t="str">
        <f t="shared" si="21"/>
        <v>Randers SØ</v>
      </c>
      <c r="AL77" s="4" t="s">
        <v>324</v>
      </c>
      <c r="AM77">
        <f t="shared" si="22"/>
        <v>89151841</v>
      </c>
      <c r="AN77" t="s">
        <v>326</v>
      </c>
      <c r="AO77">
        <v>1</v>
      </c>
      <c r="AP77" t="s">
        <v>327</v>
      </c>
    </row>
    <row r="78" spans="1:42" ht="91.8" x14ac:dyDescent="0.2">
      <c r="A78" s="2">
        <v>1266</v>
      </c>
      <c r="B78" s="2" t="s">
        <v>249</v>
      </c>
      <c r="C78" s="2"/>
      <c r="D78" s="2" t="s">
        <v>33</v>
      </c>
      <c r="E78" s="2" t="s">
        <v>250</v>
      </c>
      <c r="F78" s="2">
        <v>8930</v>
      </c>
      <c r="G78" s="2" t="s">
        <v>251</v>
      </c>
      <c r="H78" s="2">
        <v>86421057</v>
      </c>
      <c r="I78" s="2" t="s">
        <v>14</v>
      </c>
      <c r="J78" s="6" t="s">
        <v>333</v>
      </c>
      <c r="K78" s="6" t="s">
        <v>328</v>
      </c>
      <c r="L78" s="6" t="str">
        <f t="shared" si="23"/>
        <v>Randers Havn</v>
      </c>
      <c r="M78" s="8" t="s">
        <v>330</v>
      </c>
      <c r="N78" s="6" t="str">
        <f t="shared" si="24"/>
        <v>JORDTIP</v>
      </c>
      <c r="O78" s="8" t="s">
        <v>331</v>
      </c>
      <c r="P78" s="6" t="str">
        <f t="shared" si="25"/>
        <v>Randers Havn</v>
      </c>
      <c r="Q78" s="8" t="s">
        <v>329</v>
      </c>
      <c r="R78" s="6" t="str">
        <f t="shared" si="26"/>
        <v>Kulholmsvej 1</v>
      </c>
      <c r="S78" s="8" t="s">
        <v>324</v>
      </c>
      <c r="T78" s="8">
        <f t="shared" si="27"/>
        <v>8930</v>
      </c>
      <c r="U78" s="8" t="s">
        <v>325</v>
      </c>
      <c r="V78" s="8" t="str">
        <f t="shared" si="28"/>
        <v>Randers NØ</v>
      </c>
      <c r="W78" s="8" t="s">
        <v>329</v>
      </c>
      <c r="X78" s="8">
        <f t="shared" si="29"/>
        <v>0</v>
      </c>
      <c r="Y78" s="8" t="s">
        <v>332</v>
      </c>
      <c r="Z78" s="8" t="str">
        <f t="shared" si="30"/>
        <v>Ja</v>
      </c>
      <c r="AA78" s="6" t="s">
        <v>334</v>
      </c>
      <c r="AB78" s="7"/>
      <c r="AD78" t="s">
        <v>322</v>
      </c>
      <c r="AE78" t="str">
        <f t="shared" si="18"/>
        <v>Randers Havn</v>
      </c>
      <c r="AF78" s="4" t="s">
        <v>323</v>
      </c>
      <c r="AG78" t="str">
        <f t="shared" si="19"/>
        <v>Kulholmsvej 1</v>
      </c>
      <c r="AH78" s="4" t="s">
        <v>324</v>
      </c>
      <c r="AI78">
        <f t="shared" si="20"/>
        <v>8930</v>
      </c>
      <c r="AJ78" t="s">
        <v>325</v>
      </c>
      <c r="AK78" t="str">
        <f t="shared" si="21"/>
        <v>Randers NØ</v>
      </c>
      <c r="AL78" s="4" t="s">
        <v>324</v>
      </c>
      <c r="AM78">
        <f t="shared" si="22"/>
        <v>86421057</v>
      </c>
      <c r="AN78" t="s">
        <v>326</v>
      </c>
      <c r="AO78">
        <v>1</v>
      </c>
      <c r="AP78" t="s">
        <v>327</v>
      </c>
    </row>
    <row r="79" spans="1:42" ht="91.8" x14ac:dyDescent="0.2">
      <c r="A79" s="2">
        <v>1518</v>
      </c>
      <c r="B79" s="2" t="s">
        <v>316</v>
      </c>
      <c r="C79" s="2" t="s">
        <v>317</v>
      </c>
      <c r="D79" s="2" t="s">
        <v>56</v>
      </c>
      <c r="E79" s="2" t="s">
        <v>318</v>
      </c>
      <c r="F79" s="2">
        <v>8200</v>
      </c>
      <c r="G79" s="2" t="s">
        <v>13</v>
      </c>
      <c r="H79" s="2">
        <v>89404502</v>
      </c>
      <c r="I79" s="2" t="s">
        <v>28</v>
      </c>
      <c r="J79" s="6" t="s">
        <v>333</v>
      </c>
      <c r="K79" s="6" t="s">
        <v>328</v>
      </c>
      <c r="L79" s="6" t="str">
        <f t="shared" si="23"/>
        <v>Randerskilen - nord</v>
      </c>
      <c r="M79" s="8" t="s">
        <v>330</v>
      </c>
      <c r="N79" s="6" t="str">
        <f t="shared" si="24"/>
        <v>GENANVENDELSE</v>
      </c>
      <c r="O79" s="8" t="s">
        <v>331</v>
      </c>
      <c r="P79" s="6" t="str">
        <f t="shared" si="25"/>
        <v>Randerskilen - nord</v>
      </c>
      <c r="Q79" s="8" t="s">
        <v>329</v>
      </c>
      <c r="R79" s="6" t="str">
        <f t="shared" si="26"/>
        <v>Randersvej 307</v>
      </c>
      <c r="S79" s="8" t="s">
        <v>324</v>
      </c>
      <c r="T79" s="8">
        <f t="shared" si="27"/>
        <v>8200</v>
      </c>
      <c r="U79" s="8" t="s">
        <v>325</v>
      </c>
      <c r="V79" s="8" t="str">
        <f t="shared" si="28"/>
        <v>Aarhus N</v>
      </c>
      <c r="W79" s="8" t="s">
        <v>329</v>
      </c>
      <c r="X79" s="8" t="str">
        <f t="shared" si="29"/>
        <v>nordlig del af 6d Lisbjerg, Århus Jorder</v>
      </c>
      <c r="Y79" s="8" t="s">
        <v>332</v>
      </c>
      <c r="Z79" s="8" t="str">
        <f t="shared" si="30"/>
        <v>Nej</v>
      </c>
      <c r="AA79" s="6" t="s">
        <v>334</v>
      </c>
      <c r="AB79" s="7"/>
      <c r="AD79" t="s">
        <v>322</v>
      </c>
      <c r="AE79" t="str">
        <f t="shared" si="18"/>
        <v>Randerskilen - nord</v>
      </c>
      <c r="AF79" s="4" t="s">
        <v>323</v>
      </c>
      <c r="AG79" t="str">
        <f t="shared" si="19"/>
        <v>Randersvej 307</v>
      </c>
      <c r="AH79" s="4" t="s">
        <v>324</v>
      </c>
      <c r="AI79">
        <f t="shared" si="20"/>
        <v>8200</v>
      </c>
      <c r="AJ79" t="s">
        <v>325</v>
      </c>
      <c r="AK79" t="str">
        <f t="shared" si="21"/>
        <v>Aarhus N</v>
      </c>
      <c r="AL79" s="4" t="s">
        <v>324</v>
      </c>
      <c r="AM79">
        <f t="shared" si="22"/>
        <v>89404502</v>
      </c>
      <c r="AN79" t="s">
        <v>326</v>
      </c>
      <c r="AO79">
        <v>1</v>
      </c>
      <c r="AP79" t="s">
        <v>327</v>
      </c>
    </row>
    <row r="80" spans="1:42" ht="91.8" x14ac:dyDescent="0.2">
      <c r="A80" s="3">
        <v>1515</v>
      </c>
      <c r="B80" s="3" t="s">
        <v>313</v>
      </c>
      <c r="C80" s="3" t="s">
        <v>314</v>
      </c>
      <c r="D80" s="3" t="s">
        <v>56</v>
      </c>
      <c r="E80" s="3" t="s">
        <v>315</v>
      </c>
      <c r="F80" s="3">
        <v>8200</v>
      </c>
      <c r="G80" s="3" t="s">
        <v>13</v>
      </c>
      <c r="H80" s="3">
        <v>89404502</v>
      </c>
      <c r="I80" s="3" t="s">
        <v>28</v>
      </c>
      <c r="J80" s="6" t="s">
        <v>333</v>
      </c>
      <c r="K80" s="6" t="s">
        <v>328</v>
      </c>
      <c r="L80" s="6" t="str">
        <f t="shared" si="23"/>
        <v>Randerskilen - syd</v>
      </c>
      <c r="M80" s="8" t="s">
        <v>330</v>
      </c>
      <c r="N80" s="6" t="str">
        <f t="shared" si="24"/>
        <v>GENANVENDELSE</v>
      </c>
      <c r="O80" s="8" t="s">
        <v>331</v>
      </c>
      <c r="P80" s="6" t="str">
        <f t="shared" si="25"/>
        <v>Randerskilen - syd</v>
      </c>
      <c r="Q80" s="8" t="s">
        <v>329</v>
      </c>
      <c r="R80" s="6" t="str">
        <f t="shared" si="26"/>
        <v>Randersvej 307, langs vestlig side af Randersvej</v>
      </c>
      <c r="S80" s="8" t="s">
        <v>324</v>
      </c>
      <c r="T80" s="8">
        <f t="shared" si="27"/>
        <v>8200</v>
      </c>
      <c r="U80" s="8" t="s">
        <v>325</v>
      </c>
      <c r="V80" s="8" t="str">
        <f t="shared" si="28"/>
        <v>Aarhus N</v>
      </c>
      <c r="W80" s="8" t="s">
        <v>329</v>
      </c>
      <c r="X80" s="8" t="str">
        <f t="shared" si="29"/>
        <v>6af og sydlig del af 6d Lisbjerg, Århus Jorder</v>
      </c>
      <c r="Y80" s="8" t="s">
        <v>332</v>
      </c>
      <c r="Z80" s="8" t="str">
        <f t="shared" si="30"/>
        <v>Nej</v>
      </c>
      <c r="AA80" s="6" t="s">
        <v>334</v>
      </c>
      <c r="AB80" s="6"/>
      <c r="AD80" t="s">
        <v>322</v>
      </c>
      <c r="AE80" t="str">
        <f t="shared" si="18"/>
        <v>Randerskilen - syd</v>
      </c>
      <c r="AF80" s="4" t="s">
        <v>323</v>
      </c>
      <c r="AG80" t="str">
        <f t="shared" si="19"/>
        <v>Randersvej 307, langs vestlig side af Randersvej</v>
      </c>
      <c r="AH80" s="4" t="s">
        <v>324</v>
      </c>
      <c r="AI80">
        <f t="shared" si="20"/>
        <v>8200</v>
      </c>
      <c r="AJ80" t="s">
        <v>325</v>
      </c>
      <c r="AK80" t="str">
        <f t="shared" si="21"/>
        <v>Aarhus N</v>
      </c>
      <c r="AL80" s="4" t="s">
        <v>324</v>
      </c>
      <c r="AM80">
        <f t="shared" si="22"/>
        <v>89404502</v>
      </c>
      <c r="AN80" t="s">
        <v>326</v>
      </c>
      <c r="AO80">
        <v>0</v>
      </c>
      <c r="AP80" t="s">
        <v>327</v>
      </c>
    </row>
    <row r="81" spans="1:42" ht="91.8" x14ac:dyDescent="0.2">
      <c r="A81" s="2">
        <v>61</v>
      </c>
      <c r="B81" s="2" t="s">
        <v>39</v>
      </c>
      <c r="C81" s="2"/>
      <c r="D81" s="2" t="s">
        <v>40</v>
      </c>
      <c r="E81" s="2" t="s">
        <v>18</v>
      </c>
      <c r="F81" s="2">
        <v>8444</v>
      </c>
      <c r="G81" s="2" t="s">
        <v>19</v>
      </c>
      <c r="H81" s="2">
        <v>87597777</v>
      </c>
      <c r="I81" s="2" t="s">
        <v>14</v>
      </c>
      <c r="J81" s="6" t="s">
        <v>333</v>
      </c>
      <c r="K81" s="6" t="s">
        <v>328</v>
      </c>
      <c r="L81" s="6" t="str">
        <f t="shared" si="23"/>
        <v>Reno Djurs I/S</v>
      </c>
      <c r="M81" s="8" t="s">
        <v>330</v>
      </c>
      <c r="N81" s="6" t="str">
        <f t="shared" si="24"/>
        <v>LOSSEPLADS</v>
      </c>
      <c r="O81" s="8" t="s">
        <v>331</v>
      </c>
      <c r="P81" s="6" t="str">
        <f t="shared" si="25"/>
        <v>Reno Djurs I/S</v>
      </c>
      <c r="Q81" s="8" t="s">
        <v>329</v>
      </c>
      <c r="R81" s="6" t="str">
        <f t="shared" si="26"/>
        <v>Nymandsvej 11</v>
      </c>
      <c r="S81" s="8" t="s">
        <v>324</v>
      </c>
      <c r="T81" s="8">
        <f t="shared" si="27"/>
        <v>8444</v>
      </c>
      <c r="U81" s="8" t="s">
        <v>325</v>
      </c>
      <c r="V81" s="8" t="str">
        <f t="shared" si="28"/>
        <v>Balle</v>
      </c>
      <c r="W81" s="8" t="s">
        <v>329</v>
      </c>
      <c r="X81" s="8">
        <f t="shared" si="29"/>
        <v>0</v>
      </c>
      <c r="Y81" s="8" t="s">
        <v>332</v>
      </c>
      <c r="Z81" s="8" t="str">
        <f t="shared" si="30"/>
        <v>Ja</v>
      </c>
      <c r="AA81" s="6" t="s">
        <v>334</v>
      </c>
      <c r="AB81" s="7"/>
      <c r="AD81" t="s">
        <v>322</v>
      </c>
      <c r="AE81" t="str">
        <f t="shared" si="18"/>
        <v>Reno Djurs I/S</v>
      </c>
      <c r="AF81" s="4" t="s">
        <v>323</v>
      </c>
      <c r="AG81" t="str">
        <f t="shared" si="19"/>
        <v>Nymandsvej 11</v>
      </c>
      <c r="AH81" s="4" t="s">
        <v>324</v>
      </c>
      <c r="AI81">
        <f t="shared" si="20"/>
        <v>8444</v>
      </c>
      <c r="AJ81" t="s">
        <v>325</v>
      </c>
      <c r="AK81" t="str">
        <f t="shared" si="21"/>
        <v>Balle</v>
      </c>
      <c r="AL81" s="4" t="s">
        <v>324</v>
      </c>
      <c r="AM81">
        <f t="shared" si="22"/>
        <v>87597777</v>
      </c>
      <c r="AN81" t="s">
        <v>326</v>
      </c>
      <c r="AO81">
        <v>1</v>
      </c>
      <c r="AP81" t="s">
        <v>327</v>
      </c>
    </row>
    <row r="82" spans="1:42" ht="91.8" x14ac:dyDescent="0.2">
      <c r="A82" s="3">
        <v>47</v>
      </c>
      <c r="B82" s="3" t="s">
        <v>15</v>
      </c>
      <c r="C82" s="3" t="s">
        <v>16</v>
      </c>
      <c r="D82" s="3" t="s">
        <v>17</v>
      </c>
      <c r="E82" s="3" t="s">
        <v>18</v>
      </c>
      <c r="F82" s="3">
        <v>8444</v>
      </c>
      <c r="G82" s="3" t="s">
        <v>19</v>
      </c>
      <c r="H82" s="3">
        <v>86337687</v>
      </c>
      <c r="I82" s="3" t="s">
        <v>14</v>
      </c>
      <c r="J82" s="6" t="s">
        <v>333</v>
      </c>
      <c r="K82" s="6" t="s">
        <v>328</v>
      </c>
      <c r="L82" s="6" t="str">
        <f t="shared" si="23"/>
        <v>RGS 90 A/S</v>
      </c>
      <c r="M82" s="8" t="s">
        <v>330</v>
      </c>
      <c r="N82" s="6" t="str">
        <f t="shared" si="24"/>
        <v>JORDRENSNING</v>
      </c>
      <c r="O82" s="8" t="s">
        <v>331</v>
      </c>
      <c r="P82" s="6" t="str">
        <f t="shared" si="25"/>
        <v>RGS 90 A/S</v>
      </c>
      <c r="Q82" s="8" t="s">
        <v>329</v>
      </c>
      <c r="R82" s="6" t="str">
        <f t="shared" si="26"/>
        <v>Nymandsvej 11</v>
      </c>
      <c r="S82" s="8" t="s">
        <v>324</v>
      </c>
      <c r="T82" s="8">
        <f t="shared" si="27"/>
        <v>8444</v>
      </c>
      <c r="U82" s="8" t="s">
        <v>325</v>
      </c>
      <c r="V82" s="8" t="str">
        <f t="shared" si="28"/>
        <v>Balle</v>
      </c>
      <c r="W82" s="8" t="s">
        <v>329</v>
      </c>
      <c r="X82" s="8" t="str">
        <f t="shared" si="29"/>
        <v>E-mail: rgs90glatved@dsvm.dk</v>
      </c>
      <c r="Y82" s="8" t="s">
        <v>332</v>
      </c>
      <c r="Z82" s="8" t="str">
        <f t="shared" si="30"/>
        <v>Ja</v>
      </c>
      <c r="AA82" s="6" t="s">
        <v>334</v>
      </c>
      <c r="AB82" s="6"/>
      <c r="AD82" t="s">
        <v>322</v>
      </c>
      <c r="AE82" t="str">
        <f t="shared" si="18"/>
        <v>RGS 90 A/S</v>
      </c>
      <c r="AF82" s="4" t="s">
        <v>323</v>
      </c>
      <c r="AG82" t="str">
        <f t="shared" si="19"/>
        <v>Nymandsvej 11</v>
      </c>
      <c r="AH82" s="4" t="s">
        <v>324</v>
      </c>
      <c r="AI82">
        <f t="shared" si="20"/>
        <v>8444</v>
      </c>
      <c r="AJ82" t="s">
        <v>325</v>
      </c>
      <c r="AK82" t="str">
        <f t="shared" si="21"/>
        <v>Balle</v>
      </c>
      <c r="AL82" s="4" t="s">
        <v>324</v>
      </c>
      <c r="AM82">
        <f t="shared" si="22"/>
        <v>86337687</v>
      </c>
      <c r="AN82" t="s">
        <v>326</v>
      </c>
      <c r="AO82">
        <v>1</v>
      </c>
      <c r="AP82" t="s">
        <v>327</v>
      </c>
    </row>
    <row r="83" spans="1:42" ht="91.8" x14ac:dyDescent="0.2">
      <c r="A83" s="2">
        <v>49</v>
      </c>
      <c r="B83" s="2" t="s">
        <v>15</v>
      </c>
      <c r="C83" s="2" t="s">
        <v>20</v>
      </c>
      <c r="D83" s="2" t="s">
        <v>17</v>
      </c>
      <c r="E83" s="2" t="s">
        <v>21</v>
      </c>
      <c r="F83" s="2">
        <v>6000</v>
      </c>
      <c r="G83" s="2" t="s">
        <v>22</v>
      </c>
      <c r="H83" s="2">
        <v>87109625</v>
      </c>
      <c r="I83" s="2" t="s">
        <v>14</v>
      </c>
      <c r="J83" s="6" t="s">
        <v>333</v>
      </c>
      <c r="K83" s="6" t="s">
        <v>328</v>
      </c>
      <c r="L83" s="6" t="str">
        <f t="shared" si="23"/>
        <v>RGS 90 A/S</v>
      </c>
      <c r="M83" s="8" t="s">
        <v>330</v>
      </c>
      <c r="N83" s="6" t="str">
        <f t="shared" si="24"/>
        <v>JORDRENSNING</v>
      </c>
      <c r="O83" s="8" t="s">
        <v>331</v>
      </c>
      <c r="P83" s="6" t="str">
        <f t="shared" si="25"/>
        <v>RGS 90 A/S</v>
      </c>
      <c r="Q83" s="8" t="s">
        <v>329</v>
      </c>
      <c r="R83" s="6" t="str">
        <f t="shared" si="26"/>
        <v>Profilvej 22</v>
      </c>
      <c r="S83" s="8" t="s">
        <v>324</v>
      </c>
      <c r="T83" s="8">
        <f t="shared" si="27"/>
        <v>6000</v>
      </c>
      <c r="U83" s="8" t="s">
        <v>325</v>
      </c>
      <c r="V83" s="8" t="str">
        <f t="shared" si="28"/>
        <v>Kolding</v>
      </c>
      <c r="W83" s="8" t="s">
        <v>329</v>
      </c>
      <c r="X83" s="8" t="str">
        <f t="shared" si="29"/>
        <v>E-mail: rgs90kolding@dsvm.dk</v>
      </c>
      <c r="Y83" s="8" t="s">
        <v>332</v>
      </c>
      <c r="Z83" s="8" t="str">
        <f t="shared" si="30"/>
        <v>Ja</v>
      </c>
      <c r="AA83" s="6" t="s">
        <v>334</v>
      </c>
      <c r="AB83" s="7"/>
      <c r="AF83" s="4"/>
      <c r="AH83" s="4"/>
      <c r="AL83" s="4"/>
    </row>
    <row r="84" spans="1:42" ht="91.8" x14ac:dyDescent="0.2">
      <c r="A84" s="3">
        <v>51</v>
      </c>
      <c r="B84" s="3" t="s">
        <v>15</v>
      </c>
      <c r="C84" s="3"/>
      <c r="D84" s="3" t="s">
        <v>17</v>
      </c>
      <c r="E84" s="3" t="s">
        <v>23</v>
      </c>
      <c r="F84" s="3">
        <v>6880</v>
      </c>
      <c r="G84" s="3" t="s">
        <v>24</v>
      </c>
      <c r="H84" s="3">
        <v>96480090</v>
      </c>
      <c r="I84" s="3" t="s">
        <v>14</v>
      </c>
      <c r="J84" s="6" t="s">
        <v>333</v>
      </c>
      <c r="K84" s="6" t="s">
        <v>328</v>
      </c>
      <c r="L84" s="6" t="str">
        <f t="shared" si="23"/>
        <v>RGS 90 A/S</v>
      </c>
      <c r="M84" s="8" t="s">
        <v>330</v>
      </c>
      <c r="N84" s="6" t="str">
        <f t="shared" si="24"/>
        <v>JORDRENSNING</v>
      </c>
      <c r="O84" s="8" t="s">
        <v>331</v>
      </c>
      <c r="P84" s="6" t="str">
        <f t="shared" si="25"/>
        <v>RGS 90 A/S</v>
      </c>
      <c r="Q84" s="8" t="s">
        <v>329</v>
      </c>
      <c r="R84" s="6" t="str">
        <f t="shared" si="26"/>
        <v>Vardevej 83A</v>
      </c>
      <c r="S84" s="8" t="s">
        <v>324</v>
      </c>
      <c r="T84" s="8">
        <f t="shared" si="27"/>
        <v>6880</v>
      </c>
      <c r="U84" s="8" t="s">
        <v>325</v>
      </c>
      <c r="V84" s="8" t="str">
        <f t="shared" si="28"/>
        <v>Tarm</v>
      </c>
      <c r="W84" s="8" t="s">
        <v>329</v>
      </c>
      <c r="X84" s="8">
        <f t="shared" si="29"/>
        <v>0</v>
      </c>
      <c r="Y84" s="8" t="s">
        <v>332</v>
      </c>
      <c r="Z84" s="8" t="str">
        <f t="shared" si="30"/>
        <v>Ja</v>
      </c>
      <c r="AA84" s="6" t="s">
        <v>334</v>
      </c>
      <c r="AB84" s="6"/>
      <c r="AF84" s="4"/>
      <c r="AH84" s="4"/>
      <c r="AL84" s="4"/>
    </row>
    <row r="85" spans="1:42" ht="91.8" x14ac:dyDescent="0.2">
      <c r="A85" s="3">
        <v>424</v>
      </c>
      <c r="B85" s="3" t="s">
        <v>15</v>
      </c>
      <c r="C85" s="3"/>
      <c r="D85" s="3" t="s">
        <v>17</v>
      </c>
      <c r="E85" s="3" t="s">
        <v>26</v>
      </c>
      <c r="F85" s="3">
        <v>6705</v>
      </c>
      <c r="G85" s="3" t="s">
        <v>27</v>
      </c>
      <c r="H85" s="3">
        <v>75457968</v>
      </c>
      <c r="I85" s="3" t="s">
        <v>14</v>
      </c>
      <c r="J85" s="6" t="s">
        <v>333</v>
      </c>
      <c r="K85" s="6" t="s">
        <v>328</v>
      </c>
      <c r="L85" s="6" t="str">
        <f t="shared" si="23"/>
        <v>RGS 90 A/S</v>
      </c>
      <c r="M85" s="8" t="s">
        <v>330</v>
      </c>
      <c r="N85" s="6" t="str">
        <f t="shared" si="24"/>
        <v>JORDRENSNING</v>
      </c>
      <c r="O85" s="8" t="s">
        <v>331</v>
      </c>
      <c r="P85" s="6" t="str">
        <f t="shared" si="25"/>
        <v>RGS 90 A/S</v>
      </c>
      <c r="Q85" s="8" t="s">
        <v>329</v>
      </c>
      <c r="R85" s="6" t="str">
        <f t="shared" si="26"/>
        <v>Mådevej 87</v>
      </c>
      <c r="S85" s="8" t="s">
        <v>324</v>
      </c>
      <c r="T85" s="8">
        <f t="shared" si="27"/>
        <v>6705</v>
      </c>
      <c r="U85" s="8" t="s">
        <v>325</v>
      </c>
      <c r="V85" s="8" t="str">
        <f t="shared" si="28"/>
        <v>Esbjerg Ø</v>
      </c>
      <c r="W85" s="8" t="s">
        <v>329</v>
      </c>
      <c r="X85" s="8">
        <f t="shared" si="29"/>
        <v>0</v>
      </c>
      <c r="Y85" s="8" t="s">
        <v>332</v>
      </c>
      <c r="Z85" s="8" t="str">
        <f t="shared" si="30"/>
        <v>Ja</v>
      </c>
      <c r="AA85" s="6" t="s">
        <v>334</v>
      </c>
      <c r="AB85" s="6"/>
      <c r="AF85" s="4"/>
      <c r="AH85" s="4"/>
      <c r="AL85" s="4"/>
    </row>
    <row r="86" spans="1:42" ht="91.8" x14ac:dyDescent="0.2">
      <c r="A86" s="2">
        <v>426</v>
      </c>
      <c r="B86" s="2" t="s">
        <v>15</v>
      </c>
      <c r="C86" s="2"/>
      <c r="D86" s="2" t="s">
        <v>17</v>
      </c>
      <c r="E86" s="2" t="s">
        <v>29</v>
      </c>
      <c r="F86" s="2">
        <v>9310</v>
      </c>
      <c r="G86" s="2" t="s">
        <v>30</v>
      </c>
      <c r="H86" s="2">
        <v>98291098</v>
      </c>
      <c r="I86" s="2" t="s">
        <v>14</v>
      </c>
      <c r="J86" s="6" t="s">
        <v>333</v>
      </c>
      <c r="K86" s="6" t="s">
        <v>328</v>
      </c>
      <c r="L86" s="6" t="str">
        <f t="shared" si="23"/>
        <v>RGS 90 A/S</v>
      </c>
      <c r="M86" s="8" t="s">
        <v>330</v>
      </c>
      <c r="N86" s="6" t="str">
        <f t="shared" si="24"/>
        <v>JORDRENSNING</v>
      </c>
      <c r="O86" s="8" t="s">
        <v>331</v>
      </c>
      <c r="P86" s="6" t="str">
        <f t="shared" si="25"/>
        <v>RGS 90 A/S</v>
      </c>
      <c r="Q86" s="8" t="s">
        <v>329</v>
      </c>
      <c r="R86" s="6" t="str">
        <f t="shared" si="26"/>
        <v>Halsvej 70</v>
      </c>
      <c r="S86" s="8" t="s">
        <v>324</v>
      </c>
      <c r="T86" s="8">
        <f t="shared" si="27"/>
        <v>9310</v>
      </c>
      <c r="U86" s="8" t="s">
        <v>325</v>
      </c>
      <c r="V86" s="8" t="str">
        <f t="shared" si="28"/>
        <v>Vodskov</v>
      </c>
      <c r="W86" s="8" t="s">
        <v>329</v>
      </c>
      <c r="X86" s="8">
        <f t="shared" si="29"/>
        <v>0</v>
      </c>
      <c r="Y86" s="8" t="s">
        <v>332</v>
      </c>
      <c r="Z86" s="8" t="str">
        <f t="shared" si="30"/>
        <v>Ja</v>
      </c>
      <c r="AA86" s="6" t="s">
        <v>334</v>
      </c>
      <c r="AB86" s="7"/>
      <c r="AF86" s="4"/>
      <c r="AH86" s="4"/>
      <c r="AL86" s="4"/>
    </row>
    <row r="87" spans="1:42" ht="91.8" x14ac:dyDescent="0.2">
      <c r="A87" s="2">
        <v>804</v>
      </c>
      <c r="B87" s="2" t="s">
        <v>162</v>
      </c>
      <c r="C87" s="2" t="s">
        <v>163</v>
      </c>
      <c r="D87" s="2" t="s">
        <v>17</v>
      </c>
      <c r="E87" s="2" t="s">
        <v>164</v>
      </c>
      <c r="F87" s="2">
        <v>7362</v>
      </c>
      <c r="G87" s="2" t="s">
        <v>165</v>
      </c>
      <c r="H87" s="2">
        <v>40640569</v>
      </c>
      <c r="I87" s="2" t="s">
        <v>14</v>
      </c>
      <c r="J87" s="6" t="s">
        <v>333</v>
      </c>
      <c r="K87" s="6" t="s">
        <v>328</v>
      </c>
      <c r="L87" s="6" t="str">
        <f t="shared" si="23"/>
        <v>RGS90 Hjøllund Genbrugsplads</v>
      </c>
      <c r="M87" s="8" t="s">
        <v>330</v>
      </c>
      <c r="N87" s="6" t="str">
        <f t="shared" si="24"/>
        <v>JORDRENSNING</v>
      </c>
      <c r="O87" s="8" t="s">
        <v>331</v>
      </c>
      <c r="P87" s="6" t="str">
        <f t="shared" si="25"/>
        <v>RGS90 Hjøllund Genbrugsplads</v>
      </c>
      <c r="Q87" s="8" t="s">
        <v>329</v>
      </c>
      <c r="R87" s="6" t="str">
        <f t="shared" si="26"/>
        <v>Faurholtvej 3-5</v>
      </c>
      <c r="S87" s="8" t="s">
        <v>324</v>
      </c>
      <c r="T87" s="8">
        <f t="shared" si="27"/>
        <v>7362</v>
      </c>
      <c r="U87" s="8" t="s">
        <v>325</v>
      </c>
      <c r="V87" s="8" t="str">
        <f t="shared" si="28"/>
        <v>Hampen</v>
      </c>
      <c r="W87" s="8" t="s">
        <v>329</v>
      </c>
      <c r="X87" s="8" t="str">
        <f t="shared" si="29"/>
        <v>Matr. nr. 2c St. Hjøllund By, Vads</v>
      </c>
      <c r="Y87" s="8" t="s">
        <v>332</v>
      </c>
      <c r="Z87" s="8" t="str">
        <f t="shared" si="30"/>
        <v>Ja</v>
      </c>
      <c r="AA87" s="6" t="s">
        <v>334</v>
      </c>
      <c r="AB87" s="7"/>
      <c r="AF87" s="4"/>
      <c r="AH87" s="4"/>
      <c r="AL87" s="4"/>
    </row>
    <row r="88" spans="1:42" ht="91.8" x14ac:dyDescent="0.2">
      <c r="A88" s="2">
        <v>1509</v>
      </c>
      <c r="B88" s="2" t="s">
        <v>304</v>
      </c>
      <c r="C88" s="2" t="s">
        <v>305</v>
      </c>
      <c r="D88" s="2" t="s">
        <v>33</v>
      </c>
      <c r="E88" s="2" t="s">
        <v>306</v>
      </c>
      <c r="F88" s="2">
        <v>8960</v>
      </c>
      <c r="G88" s="2" t="s">
        <v>302</v>
      </c>
      <c r="H88" s="2">
        <v>86467337</v>
      </c>
      <c r="I88" s="2" t="s">
        <v>14</v>
      </c>
      <c r="J88" s="6" t="s">
        <v>333</v>
      </c>
      <c r="K88" s="6" t="s">
        <v>328</v>
      </c>
      <c r="L88" s="6" t="str">
        <f t="shared" si="23"/>
        <v>Rud Kirkevej, slagge-og flyveaskedepot</v>
      </c>
      <c r="M88" s="8" t="s">
        <v>330</v>
      </c>
      <c r="N88" s="6" t="str">
        <f t="shared" si="24"/>
        <v>JORDTIP</v>
      </c>
      <c r="O88" s="8" t="s">
        <v>331</v>
      </c>
      <c r="P88" s="6" t="str">
        <f t="shared" si="25"/>
        <v>Rud Kirkevej, slagge-og flyveaskedepot</v>
      </c>
      <c r="Q88" s="8" t="s">
        <v>329</v>
      </c>
      <c r="R88" s="6" t="str">
        <f t="shared" si="26"/>
        <v>Rud Kirkevej 44</v>
      </c>
      <c r="S88" s="8" t="s">
        <v>324</v>
      </c>
      <c r="T88" s="8">
        <f t="shared" si="27"/>
        <v>8960</v>
      </c>
      <c r="U88" s="8" t="s">
        <v>325</v>
      </c>
      <c r="V88" s="8" t="str">
        <f t="shared" si="28"/>
        <v>Randers SØ</v>
      </c>
      <c r="W88" s="8" t="s">
        <v>329</v>
      </c>
      <c r="X88" s="8" t="str">
        <f t="shared" si="29"/>
        <v>1b Robdrup By, Ølst og 7d Trustrup By, Ølst</v>
      </c>
      <c r="Y88" s="8" t="s">
        <v>332</v>
      </c>
      <c r="Z88" s="8" t="str">
        <f t="shared" si="30"/>
        <v>Ja</v>
      </c>
      <c r="AA88" s="6" t="s">
        <v>334</v>
      </c>
      <c r="AB88" s="7"/>
      <c r="AD88" t="s">
        <v>322</v>
      </c>
      <c r="AE88" t="str">
        <f>B88</f>
        <v>Rud Kirkevej, slagge-og flyveaskedepot</v>
      </c>
      <c r="AF88" s="4" t="s">
        <v>323</v>
      </c>
      <c r="AG88" t="str">
        <f>E88</f>
        <v>Rud Kirkevej 44</v>
      </c>
      <c r="AH88" s="4" t="s">
        <v>324</v>
      </c>
      <c r="AI88">
        <f>F88</f>
        <v>8960</v>
      </c>
      <c r="AJ88" t="s">
        <v>325</v>
      </c>
      <c r="AK88" t="str">
        <f>G88</f>
        <v>Randers SØ</v>
      </c>
      <c r="AL88" s="4" t="s">
        <v>324</v>
      </c>
      <c r="AM88">
        <f>H88</f>
        <v>86467337</v>
      </c>
      <c r="AN88" t="s">
        <v>326</v>
      </c>
      <c r="AO88">
        <v>1</v>
      </c>
      <c r="AP88" t="s">
        <v>327</v>
      </c>
    </row>
    <row r="89" spans="1:42" ht="91.8" x14ac:dyDescent="0.2">
      <c r="A89" s="2">
        <v>464</v>
      </c>
      <c r="B89" s="2" t="s">
        <v>107</v>
      </c>
      <c r="C89" s="2" t="s">
        <v>108</v>
      </c>
      <c r="D89" s="2" t="s">
        <v>33</v>
      </c>
      <c r="E89" s="2" t="s">
        <v>109</v>
      </c>
      <c r="F89" s="2">
        <v>8680</v>
      </c>
      <c r="G89" s="2" t="s">
        <v>110</v>
      </c>
      <c r="H89" s="2">
        <v>40723437</v>
      </c>
      <c r="I89" s="2" t="s">
        <v>14</v>
      </c>
      <c r="J89" s="6" t="s">
        <v>333</v>
      </c>
      <c r="K89" s="6" t="s">
        <v>328</v>
      </c>
      <c r="L89" s="6" t="str">
        <f t="shared" si="23"/>
        <v>Ry Grusgrav*</v>
      </c>
      <c r="M89" s="8" t="s">
        <v>330</v>
      </c>
      <c r="N89" s="6" t="str">
        <f t="shared" si="24"/>
        <v>JORDTIP</v>
      </c>
      <c r="O89" s="8" t="s">
        <v>331</v>
      </c>
      <c r="P89" s="6" t="str">
        <f t="shared" si="25"/>
        <v>Ry Grusgrav*</v>
      </c>
      <c r="Q89" s="8" t="s">
        <v>329</v>
      </c>
      <c r="R89" s="6" t="str">
        <f t="shared" si="26"/>
        <v>Bakkelyvej 2</v>
      </c>
      <c r="S89" s="8" t="s">
        <v>324</v>
      </c>
      <c r="T89" s="8">
        <f t="shared" si="27"/>
        <v>8680</v>
      </c>
      <c r="U89" s="8" t="s">
        <v>325</v>
      </c>
      <c r="V89" s="8" t="str">
        <f t="shared" si="28"/>
        <v>Ry</v>
      </c>
      <c r="W89" s="8" t="s">
        <v>329</v>
      </c>
      <c r="X89" s="8" t="str">
        <f t="shared" si="29"/>
        <v>6a Siim By, Dover (Dispensation kræves)</v>
      </c>
      <c r="Y89" s="8" t="s">
        <v>332</v>
      </c>
      <c r="Z89" s="8" t="str">
        <f t="shared" si="30"/>
        <v>Ja</v>
      </c>
      <c r="AA89" s="6" t="s">
        <v>334</v>
      </c>
      <c r="AB89" s="7"/>
      <c r="AD89" t="s">
        <v>322</v>
      </c>
      <c r="AE89" t="str">
        <f>B89</f>
        <v>Ry Grusgrav*</v>
      </c>
      <c r="AF89" s="4" t="s">
        <v>323</v>
      </c>
      <c r="AG89" t="str">
        <f>E89</f>
        <v>Bakkelyvej 2</v>
      </c>
      <c r="AH89" s="4" t="s">
        <v>324</v>
      </c>
      <c r="AI89">
        <f>F89</f>
        <v>8680</v>
      </c>
      <c r="AJ89" t="s">
        <v>325</v>
      </c>
      <c r="AK89" t="str">
        <f>G89</f>
        <v>Ry</v>
      </c>
      <c r="AL89" s="4" t="s">
        <v>324</v>
      </c>
      <c r="AM89">
        <f>H89</f>
        <v>40723437</v>
      </c>
      <c r="AN89" t="s">
        <v>326</v>
      </c>
      <c r="AO89">
        <v>1</v>
      </c>
      <c r="AP89" t="s">
        <v>327</v>
      </c>
    </row>
    <row r="90" spans="1:42" ht="91.8" x14ac:dyDescent="0.2">
      <c r="A90" s="3">
        <v>1520</v>
      </c>
      <c r="B90" s="3" t="s">
        <v>319</v>
      </c>
      <c r="C90" s="3"/>
      <c r="D90" s="3" t="s">
        <v>33</v>
      </c>
      <c r="E90" s="3" t="s">
        <v>320</v>
      </c>
      <c r="F90" s="3">
        <v>5672</v>
      </c>
      <c r="G90" s="3" t="s">
        <v>321</v>
      </c>
      <c r="H90" s="3">
        <v>62641525</v>
      </c>
      <c r="I90" s="3" t="s">
        <v>14</v>
      </c>
      <c r="J90" s="6" t="s">
        <v>333</v>
      </c>
      <c r="K90" s="6" t="s">
        <v>328</v>
      </c>
      <c r="L90" s="6" t="str">
        <f t="shared" si="23"/>
        <v>Sandholt Lyndelse Miljøcenter</v>
      </c>
      <c r="M90" s="8" t="s">
        <v>330</v>
      </c>
      <c r="N90" s="6" t="str">
        <f t="shared" si="24"/>
        <v>JORDTIP</v>
      </c>
      <c r="O90" s="8" t="s">
        <v>331</v>
      </c>
      <c r="P90" s="6" t="str">
        <f t="shared" si="25"/>
        <v>Sandholt Lyndelse Miljøcenter</v>
      </c>
      <c r="Q90" s="8" t="s">
        <v>329</v>
      </c>
      <c r="R90" s="6" t="str">
        <f t="shared" si="26"/>
        <v>Landevejen 5</v>
      </c>
      <c r="S90" s="8" t="s">
        <v>324</v>
      </c>
      <c r="T90" s="8">
        <f t="shared" si="27"/>
        <v>5672</v>
      </c>
      <c r="U90" s="8" t="s">
        <v>325</v>
      </c>
      <c r="V90" s="8" t="str">
        <f t="shared" si="28"/>
        <v>Broby</v>
      </c>
      <c r="W90" s="8" t="s">
        <v>329</v>
      </c>
      <c r="X90" s="8">
        <f t="shared" si="29"/>
        <v>0</v>
      </c>
      <c r="Y90" s="8" t="s">
        <v>332</v>
      </c>
      <c r="Z90" s="8" t="str">
        <f t="shared" si="30"/>
        <v>Ja</v>
      </c>
      <c r="AA90" s="6" t="s">
        <v>334</v>
      </c>
      <c r="AB90" s="6"/>
      <c r="AD90" t="s">
        <v>322</v>
      </c>
      <c r="AE90" t="str">
        <f>B90</f>
        <v>Sandholt Lyndelse Miljøcenter</v>
      </c>
      <c r="AF90" s="4" t="s">
        <v>323</v>
      </c>
      <c r="AG90" t="str">
        <f>E90</f>
        <v>Landevejen 5</v>
      </c>
      <c r="AH90" s="4" t="s">
        <v>324</v>
      </c>
      <c r="AI90">
        <f>F90</f>
        <v>5672</v>
      </c>
      <c r="AJ90" t="s">
        <v>325</v>
      </c>
      <c r="AK90" t="str">
        <f>G90</f>
        <v>Broby</v>
      </c>
      <c r="AL90" s="4" t="s">
        <v>324</v>
      </c>
      <c r="AM90">
        <f>H90</f>
        <v>62641525</v>
      </c>
      <c r="AN90" t="s">
        <v>326</v>
      </c>
      <c r="AO90">
        <v>1</v>
      </c>
      <c r="AP90" t="s">
        <v>327</v>
      </c>
    </row>
    <row r="91" spans="1:42" ht="91.8" x14ac:dyDescent="0.2">
      <c r="A91" s="3">
        <v>1246</v>
      </c>
      <c r="B91" s="3" t="s">
        <v>246</v>
      </c>
      <c r="C91" s="3" t="s">
        <v>247</v>
      </c>
      <c r="D91" s="3" t="s">
        <v>17</v>
      </c>
      <c r="E91" s="3" t="s">
        <v>248</v>
      </c>
      <c r="F91" s="3">
        <v>7860</v>
      </c>
      <c r="G91" s="3" t="s">
        <v>43</v>
      </c>
      <c r="H91" s="3">
        <v>97581288</v>
      </c>
      <c r="I91" s="3" t="s">
        <v>14</v>
      </c>
      <c r="J91" s="6" t="s">
        <v>333</v>
      </c>
      <c r="K91" s="6" t="s">
        <v>328</v>
      </c>
      <c r="L91" s="6" t="str">
        <f t="shared" si="23"/>
        <v>Skive Renovation 4-S</v>
      </c>
      <c r="M91" s="8" t="s">
        <v>330</v>
      </c>
      <c r="N91" s="6" t="str">
        <f t="shared" si="24"/>
        <v>JORDRENSNING</v>
      </c>
      <c r="O91" s="8" t="s">
        <v>331</v>
      </c>
      <c r="P91" s="6" t="str">
        <f t="shared" si="25"/>
        <v>Skive Renovation 4-S</v>
      </c>
      <c r="Q91" s="8" t="s">
        <v>329</v>
      </c>
      <c r="R91" s="6" t="str">
        <f t="shared" si="26"/>
        <v>Kåstrupvej 20-22</v>
      </c>
      <c r="S91" s="8" t="s">
        <v>324</v>
      </c>
      <c r="T91" s="8">
        <f t="shared" si="27"/>
        <v>7860</v>
      </c>
      <c r="U91" s="8" t="s">
        <v>325</v>
      </c>
      <c r="V91" s="8" t="str">
        <f t="shared" si="28"/>
        <v>Spøttrup</v>
      </c>
      <c r="W91" s="8" t="s">
        <v>329</v>
      </c>
      <c r="X91" s="8" t="str">
        <f t="shared" si="29"/>
        <v>4-S@4-S.dk</v>
      </c>
      <c r="Y91" s="8" t="s">
        <v>332</v>
      </c>
      <c r="Z91" s="8" t="str">
        <f t="shared" si="30"/>
        <v>Ja</v>
      </c>
      <c r="AA91" s="6" t="s">
        <v>334</v>
      </c>
      <c r="AB91" s="6"/>
      <c r="AD91" t="s">
        <v>322</v>
      </c>
      <c r="AE91" t="str">
        <f>B91</f>
        <v>Skive Renovation 4-S</v>
      </c>
      <c r="AF91" s="4" t="s">
        <v>323</v>
      </c>
      <c r="AG91" t="str">
        <f>E91</f>
        <v>Kåstrupvej 20-22</v>
      </c>
      <c r="AH91" s="4" t="s">
        <v>324</v>
      </c>
      <c r="AI91">
        <f>F91</f>
        <v>7860</v>
      </c>
      <c r="AJ91" t="s">
        <v>325</v>
      </c>
      <c r="AK91" t="str">
        <f>G91</f>
        <v>Spøttrup</v>
      </c>
      <c r="AL91" s="4" t="s">
        <v>324</v>
      </c>
      <c r="AM91">
        <f>H91</f>
        <v>97581288</v>
      </c>
      <c r="AN91" t="s">
        <v>326</v>
      </c>
      <c r="AO91">
        <v>1</v>
      </c>
      <c r="AP91" t="s">
        <v>327</v>
      </c>
    </row>
    <row r="92" spans="1:42" ht="91.8" x14ac:dyDescent="0.2">
      <c r="A92" s="2">
        <v>53</v>
      </c>
      <c r="B92" s="2" t="s">
        <v>25</v>
      </c>
      <c r="C92" s="2"/>
      <c r="D92" s="2" t="s">
        <v>17</v>
      </c>
      <c r="E92" s="2" t="s">
        <v>26</v>
      </c>
      <c r="F92" s="2">
        <v>6705</v>
      </c>
      <c r="G92" s="2" t="s">
        <v>27</v>
      </c>
      <c r="H92" s="2">
        <v>75457968</v>
      </c>
      <c r="I92" s="2" t="s">
        <v>28</v>
      </c>
      <c r="J92" s="6" t="s">
        <v>333</v>
      </c>
      <c r="K92" s="6" t="s">
        <v>328</v>
      </c>
      <c r="L92" s="6" t="str">
        <f t="shared" si="23"/>
        <v>Soilrem A/S</v>
      </c>
      <c r="M92" s="8" t="s">
        <v>330</v>
      </c>
      <c r="N92" s="6" t="str">
        <f t="shared" si="24"/>
        <v>JORDRENSNING</v>
      </c>
      <c r="O92" s="8" t="s">
        <v>331</v>
      </c>
      <c r="P92" s="6" t="str">
        <f t="shared" si="25"/>
        <v>Soilrem A/S</v>
      </c>
      <c r="Q92" s="8" t="s">
        <v>329</v>
      </c>
      <c r="R92" s="6" t="str">
        <f t="shared" si="26"/>
        <v>Mådevej 87</v>
      </c>
      <c r="S92" s="8" t="s">
        <v>324</v>
      </c>
      <c r="T92" s="8">
        <f t="shared" si="27"/>
        <v>6705</v>
      </c>
      <c r="U92" s="8" t="s">
        <v>325</v>
      </c>
      <c r="V92" s="8" t="str">
        <f t="shared" si="28"/>
        <v>Esbjerg Ø</v>
      </c>
      <c r="W92" s="8" t="s">
        <v>329</v>
      </c>
      <c r="X92" s="8">
        <f t="shared" si="29"/>
        <v>0</v>
      </c>
      <c r="Y92" s="8" t="s">
        <v>332</v>
      </c>
      <c r="Z92" s="8" t="str">
        <f t="shared" si="30"/>
        <v>Nej</v>
      </c>
      <c r="AA92" s="6" t="s">
        <v>334</v>
      </c>
      <c r="AB92" s="7"/>
      <c r="AD92" t="s">
        <v>322</v>
      </c>
      <c r="AE92" t="str">
        <f>B92</f>
        <v>Soilrem A/S</v>
      </c>
      <c r="AF92" s="4" t="s">
        <v>323</v>
      </c>
      <c r="AG92" t="str">
        <f>E92</f>
        <v>Mådevej 87</v>
      </c>
      <c r="AH92" s="4" t="s">
        <v>324</v>
      </c>
      <c r="AI92">
        <f>F92</f>
        <v>6705</v>
      </c>
      <c r="AJ92" t="s">
        <v>325</v>
      </c>
      <c r="AK92" t="str">
        <f>G92</f>
        <v>Esbjerg Ø</v>
      </c>
      <c r="AL92" s="4" t="s">
        <v>324</v>
      </c>
      <c r="AM92">
        <f>H92</f>
        <v>75457968</v>
      </c>
      <c r="AN92" t="s">
        <v>326</v>
      </c>
      <c r="AO92">
        <v>0</v>
      </c>
      <c r="AP92" t="s">
        <v>327</v>
      </c>
    </row>
    <row r="93" spans="1:42" ht="91.8" x14ac:dyDescent="0.2">
      <c r="A93" s="3">
        <v>55</v>
      </c>
      <c r="B93" s="3" t="s">
        <v>25</v>
      </c>
      <c r="C93" s="3"/>
      <c r="D93" s="3" t="s">
        <v>17</v>
      </c>
      <c r="E93" s="3" t="s">
        <v>29</v>
      </c>
      <c r="F93" s="3">
        <v>9310</v>
      </c>
      <c r="G93" s="3" t="s">
        <v>30</v>
      </c>
      <c r="H93" s="3">
        <v>98291098</v>
      </c>
      <c r="I93" s="3" t="s">
        <v>28</v>
      </c>
      <c r="J93" s="6" t="s">
        <v>333</v>
      </c>
      <c r="K93" s="6" t="s">
        <v>328</v>
      </c>
      <c r="L93" s="6" t="str">
        <f t="shared" si="23"/>
        <v>Soilrem A/S</v>
      </c>
      <c r="M93" s="8" t="s">
        <v>330</v>
      </c>
      <c r="N93" s="6" t="str">
        <f t="shared" si="24"/>
        <v>JORDRENSNING</v>
      </c>
      <c r="O93" s="8" t="s">
        <v>331</v>
      </c>
      <c r="P93" s="6" t="str">
        <f t="shared" si="25"/>
        <v>Soilrem A/S</v>
      </c>
      <c r="Q93" s="8" t="s">
        <v>329</v>
      </c>
      <c r="R93" s="6" t="str">
        <f t="shared" si="26"/>
        <v>Halsvej 70</v>
      </c>
      <c r="S93" s="8" t="s">
        <v>324</v>
      </c>
      <c r="T93" s="8">
        <f t="shared" si="27"/>
        <v>9310</v>
      </c>
      <c r="U93" s="8" t="s">
        <v>325</v>
      </c>
      <c r="V93" s="8" t="str">
        <f t="shared" si="28"/>
        <v>Vodskov</v>
      </c>
      <c r="W93" s="8" t="s">
        <v>329</v>
      </c>
      <c r="X93" s="8">
        <f t="shared" si="29"/>
        <v>0</v>
      </c>
      <c r="Y93" s="8" t="s">
        <v>332</v>
      </c>
      <c r="Z93" s="8" t="str">
        <f t="shared" si="30"/>
        <v>Nej</v>
      </c>
      <c r="AA93" s="6" t="s">
        <v>334</v>
      </c>
      <c r="AB93" s="6"/>
      <c r="AF93" s="4"/>
      <c r="AH93" s="4"/>
      <c r="AL93" s="4"/>
    </row>
    <row r="94" spans="1:42" ht="91.8" x14ac:dyDescent="0.2">
      <c r="A94" s="2">
        <v>1032</v>
      </c>
      <c r="B94" s="2" t="s">
        <v>206</v>
      </c>
      <c r="C94" s="2" t="s">
        <v>207</v>
      </c>
      <c r="D94" s="2" t="s">
        <v>11</v>
      </c>
      <c r="E94" s="2" t="s">
        <v>208</v>
      </c>
      <c r="F94" s="2">
        <v>8464</v>
      </c>
      <c r="G94" s="2" t="s">
        <v>209</v>
      </c>
      <c r="H94" s="2">
        <v>0</v>
      </c>
      <c r="I94" s="2" t="s">
        <v>28</v>
      </c>
      <c r="J94" s="6" t="s">
        <v>333</v>
      </c>
      <c r="K94" s="6" t="s">
        <v>328</v>
      </c>
      <c r="L94" s="6" t="str">
        <f t="shared" si="23"/>
        <v>Stjær Grusgrav* v. Harald Røgen og Sønner</v>
      </c>
      <c r="M94" s="8" t="s">
        <v>330</v>
      </c>
      <c r="N94" s="6" t="str">
        <f t="shared" si="24"/>
        <v>MIDLERTIDIG OPLAG</v>
      </c>
      <c r="O94" s="8" t="s">
        <v>331</v>
      </c>
      <c r="P94" s="6" t="str">
        <f t="shared" si="25"/>
        <v>Stjær Grusgrav* v. Harald Røgen og Sønner</v>
      </c>
      <c r="Q94" s="8" t="s">
        <v>329</v>
      </c>
      <c r="R94" s="6" t="str">
        <f t="shared" si="26"/>
        <v>Jeksenvej</v>
      </c>
      <c r="S94" s="8" t="s">
        <v>324</v>
      </c>
      <c r="T94" s="8">
        <f t="shared" si="27"/>
        <v>8464</v>
      </c>
      <c r="U94" s="8" t="s">
        <v>325</v>
      </c>
      <c r="V94" s="8" t="str">
        <f t="shared" si="28"/>
        <v>Galten</v>
      </c>
      <c r="W94" s="8" t="s">
        <v>329</v>
      </c>
      <c r="X94" s="8" t="str">
        <f t="shared" si="29"/>
        <v>13s, 8a, 5a Stjær By, Stjær (dispensation kræves)</v>
      </c>
      <c r="Y94" s="8" t="s">
        <v>332</v>
      </c>
      <c r="Z94" s="8" t="str">
        <f t="shared" si="30"/>
        <v>Nej</v>
      </c>
      <c r="AA94" s="6" t="s">
        <v>334</v>
      </c>
      <c r="AB94" s="7"/>
      <c r="AD94" t="s">
        <v>322</v>
      </c>
      <c r="AE94" t="str">
        <f>B94</f>
        <v>Stjær Grusgrav* v. Harald Røgen og Sønner</v>
      </c>
      <c r="AF94" s="4" t="s">
        <v>323</v>
      </c>
      <c r="AG94" t="str">
        <f>E94</f>
        <v>Jeksenvej</v>
      </c>
      <c r="AH94" s="4" t="s">
        <v>324</v>
      </c>
      <c r="AI94">
        <f>F94</f>
        <v>8464</v>
      </c>
      <c r="AJ94" t="s">
        <v>325</v>
      </c>
      <c r="AK94" t="str">
        <f>G94</f>
        <v>Galten</v>
      </c>
      <c r="AL94" s="4" t="s">
        <v>324</v>
      </c>
      <c r="AM94">
        <f>H94</f>
        <v>0</v>
      </c>
      <c r="AN94" t="s">
        <v>326</v>
      </c>
      <c r="AO94">
        <v>0</v>
      </c>
      <c r="AP94" t="s">
        <v>327</v>
      </c>
    </row>
    <row r="95" spans="1:42" ht="91.8" x14ac:dyDescent="0.2">
      <c r="A95" s="3">
        <v>1034</v>
      </c>
      <c r="B95" s="3" t="s">
        <v>210</v>
      </c>
      <c r="C95" s="3" t="s">
        <v>211</v>
      </c>
      <c r="D95" s="3" t="s">
        <v>11</v>
      </c>
      <c r="E95" s="3" t="s">
        <v>208</v>
      </c>
      <c r="F95" s="3">
        <v>8464</v>
      </c>
      <c r="G95" s="3" t="s">
        <v>209</v>
      </c>
      <c r="H95" s="3">
        <v>0</v>
      </c>
      <c r="I95" s="3" t="s">
        <v>28</v>
      </c>
      <c r="J95" s="6" t="s">
        <v>333</v>
      </c>
      <c r="K95" s="6" t="s">
        <v>328</v>
      </c>
      <c r="L95" s="6" t="str">
        <f t="shared" si="23"/>
        <v>Stjær Grusgrav* v. Ry Grusgrav</v>
      </c>
      <c r="M95" s="8" t="s">
        <v>330</v>
      </c>
      <c r="N95" s="6" t="str">
        <f t="shared" si="24"/>
        <v>MIDLERTIDIG OPLAG</v>
      </c>
      <c r="O95" s="8" t="s">
        <v>331</v>
      </c>
      <c r="P95" s="6" t="str">
        <f t="shared" si="25"/>
        <v>Stjær Grusgrav* v. Ry Grusgrav</v>
      </c>
      <c r="Q95" s="8" t="s">
        <v>329</v>
      </c>
      <c r="R95" s="6" t="str">
        <f t="shared" si="26"/>
        <v>Jeksenvej</v>
      </c>
      <c r="S95" s="8" t="s">
        <v>324</v>
      </c>
      <c r="T95" s="8">
        <f t="shared" si="27"/>
        <v>8464</v>
      </c>
      <c r="U95" s="8" t="s">
        <v>325</v>
      </c>
      <c r="V95" s="8" t="str">
        <f t="shared" si="28"/>
        <v>Galten</v>
      </c>
      <c r="W95" s="8" t="s">
        <v>329</v>
      </c>
      <c r="X95" s="8" t="str">
        <f t="shared" si="29"/>
        <v>2g Stjær By, Stjær (dispensation kræves)</v>
      </c>
      <c r="Y95" s="8" t="s">
        <v>332</v>
      </c>
      <c r="Z95" s="8" t="str">
        <f t="shared" si="30"/>
        <v>Nej</v>
      </c>
      <c r="AA95" s="6" t="s">
        <v>334</v>
      </c>
      <c r="AB95" s="6"/>
      <c r="AD95" t="s">
        <v>322</v>
      </c>
      <c r="AE95" t="str">
        <f>B95</f>
        <v>Stjær Grusgrav* v. Ry Grusgrav</v>
      </c>
      <c r="AF95" s="4" t="s">
        <v>323</v>
      </c>
      <c r="AG95" t="str">
        <f>E95</f>
        <v>Jeksenvej</v>
      </c>
      <c r="AH95" s="4" t="s">
        <v>324</v>
      </c>
      <c r="AI95">
        <f>F95</f>
        <v>8464</v>
      </c>
      <c r="AJ95" t="s">
        <v>325</v>
      </c>
      <c r="AK95" t="str">
        <f>G95</f>
        <v>Galten</v>
      </c>
      <c r="AL95" s="4" t="s">
        <v>324</v>
      </c>
      <c r="AM95">
        <f>H95</f>
        <v>0</v>
      </c>
      <c r="AN95" t="s">
        <v>326</v>
      </c>
      <c r="AO95">
        <v>0</v>
      </c>
      <c r="AP95" t="s">
        <v>327</v>
      </c>
    </row>
    <row r="96" spans="1:42" ht="91.8" x14ac:dyDescent="0.2">
      <c r="A96" s="2">
        <v>1040</v>
      </c>
      <c r="B96" s="2" t="s">
        <v>217</v>
      </c>
      <c r="C96" s="2" t="s">
        <v>218</v>
      </c>
      <c r="D96" s="2" t="s">
        <v>33</v>
      </c>
      <c r="E96" s="2" t="s">
        <v>219</v>
      </c>
      <c r="F96" s="2">
        <v>8660</v>
      </c>
      <c r="G96" s="2" t="s">
        <v>172</v>
      </c>
      <c r="H96" s="2">
        <v>24496806</v>
      </c>
      <c r="I96" s="2" t="s">
        <v>28</v>
      </c>
      <c r="J96" s="6" t="s">
        <v>333</v>
      </c>
      <c r="K96" s="6" t="s">
        <v>328</v>
      </c>
      <c r="L96" s="6" t="str">
        <f t="shared" si="23"/>
        <v>Støjvold</v>
      </c>
      <c r="M96" s="8" t="s">
        <v>330</v>
      </c>
      <c r="N96" s="6" t="str">
        <f t="shared" si="24"/>
        <v>JORDTIP</v>
      </c>
      <c r="O96" s="8" t="s">
        <v>331</v>
      </c>
      <c r="P96" s="6" t="str">
        <f t="shared" si="25"/>
        <v>Støjvold</v>
      </c>
      <c r="Q96" s="8" t="s">
        <v>329</v>
      </c>
      <c r="R96" s="6" t="str">
        <f t="shared" si="26"/>
        <v>Horndrupvej 4</v>
      </c>
      <c r="S96" s="8" t="s">
        <v>324</v>
      </c>
      <c r="T96" s="8">
        <f t="shared" si="27"/>
        <v>8660</v>
      </c>
      <c r="U96" s="8" t="s">
        <v>325</v>
      </c>
      <c r="V96" s="8" t="str">
        <f t="shared" si="28"/>
        <v>Skanderborg</v>
      </c>
      <c r="W96" s="8" t="s">
        <v>329</v>
      </c>
      <c r="X96" s="8" t="str">
        <f t="shared" si="29"/>
        <v>Niels Sørensen</v>
      </c>
      <c r="Y96" s="8" t="s">
        <v>332</v>
      </c>
      <c r="Z96" s="8" t="str">
        <f t="shared" si="30"/>
        <v>Nej</v>
      </c>
      <c r="AA96" s="6" t="s">
        <v>334</v>
      </c>
      <c r="AB96" s="7"/>
      <c r="AD96" t="s">
        <v>322</v>
      </c>
      <c r="AE96" t="str">
        <f>B96</f>
        <v>Støjvold</v>
      </c>
      <c r="AF96" s="4" t="s">
        <v>323</v>
      </c>
      <c r="AG96" t="str">
        <f>E96</f>
        <v>Horndrupvej 4</v>
      </c>
      <c r="AH96" s="4" t="s">
        <v>324</v>
      </c>
      <c r="AI96">
        <f>F96</f>
        <v>8660</v>
      </c>
      <c r="AJ96" t="s">
        <v>325</v>
      </c>
      <c r="AK96" t="str">
        <f>G96</f>
        <v>Skanderborg</v>
      </c>
      <c r="AL96" s="4" t="s">
        <v>324</v>
      </c>
      <c r="AM96">
        <f>H96</f>
        <v>24496806</v>
      </c>
      <c r="AN96" t="s">
        <v>326</v>
      </c>
      <c r="AO96">
        <v>0</v>
      </c>
      <c r="AP96" t="s">
        <v>327</v>
      </c>
    </row>
    <row r="97" spans="1:42" ht="91.8" x14ac:dyDescent="0.2">
      <c r="A97" s="3">
        <v>165</v>
      </c>
      <c r="B97" s="3" t="s">
        <v>64</v>
      </c>
      <c r="C97" s="3"/>
      <c r="D97" s="3" t="s">
        <v>33</v>
      </c>
      <c r="E97" s="3" t="s">
        <v>65</v>
      </c>
      <c r="F97" s="3">
        <v>8381</v>
      </c>
      <c r="G97" s="3" t="s">
        <v>66</v>
      </c>
      <c r="H97" s="3">
        <v>99999999</v>
      </c>
      <c r="I97" s="3" t="s">
        <v>28</v>
      </c>
      <c r="J97" s="6" t="s">
        <v>333</v>
      </c>
      <c r="K97" s="6" t="s">
        <v>328</v>
      </c>
      <c r="L97" s="6" t="str">
        <f t="shared" si="23"/>
        <v>Svæveflyvebanen True</v>
      </c>
      <c r="M97" s="8" t="s">
        <v>330</v>
      </c>
      <c r="N97" s="6" t="str">
        <f t="shared" si="24"/>
        <v>JORDTIP</v>
      </c>
      <c r="O97" s="8" t="s">
        <v>331</v>
      </c>
      <c r="P97" s="6" t="str">
        <f t="shared" si="25"/>
        <v>Svæveflyvebanen True</v>
      </c>
      <c r="Q97" s="8" t="s">
        <v>329</v>
      </c>
      <c r="R97" s="6" t="str">
        <f t="shared" si="26"/>
        <v>Bavnehøjvej 11</v>
      </c>
      <c r="S97" s="8" t="s">
        <v>324</v>
      </c>
      <c r="T97" s="8">
        <f t="shared" si="27"/>
        <v>8381</v>
      </c>
      <c r="U97" s="8" t="s">
        <v>325</v>
      </c>
      <c r="V97" s="8" t="str">
        <f t="shared" si="28"/>
        <v>Tilst</v>
      </c>
      <c r="W97" s="8" t="s">
        <v>329</v>
      </c>
      <c r="X97" s="8">
        <f t="shared" si="29"/>
        <v>0</v>
      </c>
      <c r="Y97" s="8" t="s">
        <v>332</v>
      </c>
      <c r="Z97" s="8" t="str">
        <f t="shared" si="30"/>
        <v>Nej</v>
      </c>
      <c r="AA97" s="6" t="s">
        <v>334</v>
      </c>
      <c r="AB97" s="6"/>
      <c r="AD97" t="s">
        <v>322</v>
      </c>
      <c r="AE97" t="str">
        <f>B97</f>
        <v>Svæveflyvebanen True</v>
      </c>
      <c r="AF97" s="4" t="s">
        <v>323</v>
      </c>
      <c r="AG97" t="str">
        <f>E97</f>
        <v>Bavnehøjvej 11</v>
      </c>
      <c r="AH97" s="4" t="s">
        <v>324</v>
      </c>
      <c r="AI97">
        <f>F97</f>
        <v>8381</v>
      </c>
      <c r="AJ97" t="s">
        <v>325</v>
      </c>
      <c r="AK97" t="str">
        <f>G97</f>
        <v>Tilst</v>
      </c>
      <c r="AL97" s="4" t="s">
        <v>324</v>
      </c>
      <c r="AM97">
        <f>H97</f>
        <v>99999999</v>
      </c>
      <c r="AN97" t="s">
        <v>326</v>
      </c>
      <c r="AO97">
        <v>0</v>
      </c>
      <c r="AP97" t="s">
        <v>327</v>
      </c>
    </row>
    <row r="98" spans="1:42" ht="91.8" x14ac:dyDescent="0.2">
      <c r="A98" s="3">
        <v>304</v>
      </c>
      <c r="B98" s="3" t="s">
        <v>83</v>
      </c>
      <c r="C98" s="3" t="s">
        <v>84</v>
      </c>
      <c r="D98" s="3" t="s">
        <v>33</v>
      </c>
      <c r="E98" s="3" t="s">
        <v>85</v>
      </c>
      <c r="F98" s="3">
        <v>8544</v>
      </c>
      <c r="G98" s="3" t="s">
        <v>86</v>
      </c>
      <c r="H98" s="3">
        <v>99999999</v>
      </c>
      <c r="I98" s="3" t="s">
        <v>14</v>
      </c>
      <c r="J98" s="6" t="s">
        <v>333</v>
      </c>
      <c r="K98" s="6" t="s">
        <v>328</v>
      </c>
      <c r="L98" s="6" t="str">
        <f t="shared" si="23"/>
        <v>Sønder Kastrup Grusgrav</v>
      </c>
      <c r="M98" s="8" t="s">
        <v>330</v>
      </c>
      <c r="N98" s="6" t="str">
        <f t="shared" si="24"/>
        <v>JORDTIP</v>
      </c>
      <c r="O98" s="8" t="s">
        <v>331</v>
      </c>
      <c r="P98" s="6" t="str">
        <f t="shared" si="25"/>
        <v>Sønder Kastrup Grusgrav</v>
      </c>
      <c r="Q98" s="8" t="s">
        <v>329</v>
      </c>
      <c r="R98" s="6" t="str">
        <f t="shared" si="26"/>
        <v>Stovbakken 17</v>
      </c>
      <c r="S98" s="8" t="s">
        <v>324</v>
      </c>
      <c r="T98" s="8">
        <f t="shared" si="27"/>
        <v>8544</v>
      </c>
      <c r="U98" s="8" t="s">
        <v>325</v>
      </c>
      <c r="V98" s="8" t="str">
        <f t="shared" si="28"/>
        <v>Mørke</v>
      </c>
      <c r="W98" s="8" t="s">
        <v>329</v>
      </c>
      <c r="X98" s="8" t="str">
        <f t="shared" si="29"/>
        <v>5 o, Kastrup By, Hvilsager. (Ingen dispensation)</v>
      </c>
      <c r="Y98" s="8" t="s">
        <v>332</v>
      </c>
      <c r="Z98" s="8" t="str">
        <f t="shared" si="30"/>
        <v>Ja</v>
      </c>
      <c r="AA98" s="6" t="s">
        <v>334</v>
      </c>
      <c r="AB98" s="6"/>
      <c r="AF98" s="4"/>
      <c r="AH98" s="4"/>
      <c r="AL98" s="4"/>
    </row>
    <row r="99" spans="1:42" ht="91.8" x14ac:dyDescent="0.2">
      <c r="A99" s="3">
        <v>1186</v>
      </c>
      <c r="B99" s="3" t="s">
        <v>240</v>
      </c>
      <c r="C99" s="3" t="s">
        <v>241</v>
      </c>
      <c r="D99" s="3" t="s">
        <v>33</v>
      </c>
      <c r="E99" s="3" t="s">
        <v>85</v>
      </c>
      <c r="F99" s="3">
        <v>8544</v>
      </c>
      <c r="G99" s="3" t="s">
        <v>86</v>
      </c>
      <c r="H99" s="3">
        <v>86492300</v>
      </c>
      <c r="I99" s="3" t="s">
        <v>14</v>
      </c>
      <c r="J99" s="6" t="s">
        <v>333</v>
      </c>
      <c r="K99" s="6" t="s">
        <v>328</v>
      </c>
      <c r="L99" s="6" t="str">
        <f t="shared" si="23"/>
        <v>Sønder Kastrup Grusgrav(VAM)</v>
      </c>
      <c r="M99" s="8" t="s">
        <v>330</v>
      </c>
      <c r="N99" s="6" t="str">
        <f t="shared" si="24"/>
        <v>JORDTIP</v>
      </c>
      <c r="O99" s="8" t="s">
        <v>331</v>
      </c>
      <c r="P99" s="6" t="str">
        <f t="shared" si="25"/>
        <v>Sønder Kastrup Grusgrav(VAM)</v>
      </c>
      <c r="Q99" s="8" t="s">
        <v>329</v>
      </c>
      <c r="R99" s="6" t="str">
        <f t="shared" si="26"/>
        <v>Stovbakken 17</v>
      </c>
      <c r="S99" s="8" t="s">
        <v>324</v>
      </c>
      <c r="T99" s="8">
        <f t="shared" si="27"/>
        <v>8544</v>
      </c>
      <c r="U99" s="8" t="s">
        <v>325</v>
      </c>
      <c r="V99" s="8" t="str">
        <f t="shared" si="28"/>
        <v>Mørke</v>
      </c>
      <c r="W99" s="8" t="s">
        <v>329</v>
      </c>
      <c r="X99" s="8" t="str">
        <f t="shared" si="29"/>
        <v>5 o, Kastrup By, Hvilsager.(Disp. kræves ikke)</v>
      </c>
      <c r="Y99" s="8" t="s">
        <v>332</v>
      </c>
      <c r="Z99" s="8" t="str">
        <f t="shared" si="30"/>
        <v>Ja</v>
      </c>
      <c r="AA99" s="6" t="s">
        <v>334</v>
      </c>
      <c r="AB99" s="6"/>
      <c r="AD99" t="s">
        <v>322</v>
      </c>
      <c r="AE99" t="str">
        <f t="shared" ref="AE99:AE111" si="31">B99</f>
        <v>Sønder Kastrup Grusgrav(VAM)</v>
      </c>
      <c r="AF99" s="4" t="s">
        <v>323</v>
      </c>
      <c r="AG99" t="str">
        <f t="shared" ref="AG99:AG111" si="32">E99</f>
        <v>Stovbakken 17</v>
      </c>
      <c r="AH99" s="4" t="s">
        <v>324</v>
      </c>
      <c r="AI99">
        <f t="shared" ref="AI99:AI111" si="33">F99</f>
        <v>8544</v>
      </c>
      <c r="AJ99" t="s">
        <v>325</v>
      </c>
      <c r="AK99" t="str">
        <f t="shared" ref="AK99:AK111" si="34">G99</f>
        <v>Mørke</v>
      </c>
      <c r="AL99" s="4" t="s">
        <v>324</v>
      </c>
      <c r="AM99">
        <f t="shared" ref="AM99:AM111" si="35">H99</f>
        <v>86492300</v>
      </c>
      <c r="AN99" t="s">
        <v>326</v>
      </c>
      <c r="AO99">
        <v>1</v>
      </c>
      <c r="AP99" t="s">
        <v>327</v>
      </c>
    </row>
    <row r="100" spans="1:42" ht="91.8" x14ac:dyDescent="0.2">
      <c r="A100" s="3">
        <v>264</v>
      </c>
      <c r="B100" s="3" t="s">
        <v>76</v>
      </c>
      <c r="C100" s="3" t="s">
        <v>77</v>
      </c>
      <c r="D100" s="3" t="s">
        <v>33</v>
      </c>
      <c r="E100" s="3" t="s">
        <v>78</v>
      </c>
      <c r="F100" s="3">
        <v>8260</v>
      </c>
      <c r="G100" s="3" t="s">
        <v>46</v>
      </c>
      <c r="H100" s="3">
        <v>12345678</v>
      </c>
      <c r="I100" s="3" t="s">
        <v>28</v>
      </c>
      <c r="J100" s="6" t="s">
        <v>333</v>
      </c>
      <c r="K100" s="6" t="s">
        <v>328</v>
      </c>
      <c r="L100" s="6" t="str">
        <f t="shared" si="23"/>
        <v>Sønderhøj</v>
      </c>
      <c r="M100" s="8" t="s">
        <v>330</v>
      </c>
      <c r="N100" s="6" t="str">
        <f t="shared" si="24"/>
        <v>JORDTIP</v>
      </c>
      <c r="O100" s="8" t="s">
        <v>331</v>
      </c>
      <c r="P100" s="6" t="str">
        <f t="shared" si="25"/>
        <v>Sønderhøj</v>
      </c>
      <c r="Q100" s="8" t="s">
        <v>329</v>
      </c>
      <c r="R100" s="6" t="str">
        <f t="shared" si="26"/>
        <v>Sønderhøj 18</v>
      </c>
      <c r="S100" s="8" t="s">
        <v>324</v>
      </c>
      <c r="T100" s="8">
        <f t="shared" si="27"/>
        <v>8260</v>
      </c>
      <c r="U100" s="8" t="s">
        <v>325</v>
      </c>
      <c r="V100" s="8" t="str">
        <f t="shared" si="28"/>
        <v>Viby J</v>
      </c>
      <c r="W100" s="8" t="s">
        <v>329</v>
      </c>
      <c r="X100" s="8" t="str">
        <f t="shared" si="29"/>
        <v>4 fv, Viby By, Viby</v>
      </c>
      <c r="Y100" s="8" t="s">
        <v>332</v>
      </c>
      <c r="Z100" s="8" t="str">
        <f t="shared" si="30"/>
        <v>Nej</v>
      </c>
      <c r="AA100" s="6" t="s">
        <v>334</v>
      </c>
      <c r="AB100" s="6"/>
      <c r="AD100" t="s">
        <v>322</v>
      </c>
      <c r="AE100" t="str">
        <f t="shared" si="31"/>
        <v>Sønderhøj</v>
      </c>
      <c r="AF100" s="4" t="s">
        <v>323</v>
      </c>
      <c r="AG100" t="str">
        <f t="shared" si="32"/>
        <v>Sønderhøj 18</v>
      </c>
      <c r="AH100" s="4" t="s">
        <v>324</v>
      </c>
      <c r="AI100">
        <f t="shared" si="33"/>
        <v>8260</v>
      </c>
      <c r="AJ100" t="s">
        <v>325</v>
      </c>
      <c r="AK100" t="str">
        <f t="shared" si="34"/>
        <v>Viby J</v>
      </c>
      <c r="AL100" s="4" t="s">
        <v>324</v>
      </c>
      <c r="AM100">
        <f t="shared" si="35"/>
        <v>12345678</v>
      </c>
      <c r="AN100" t="s">
        <v>326</v>
      </c>
      <c r="AO100">
        <v>0</v>
      </c>
      <c r="AP100" t="s">
        <v>327</v>
      </c>
    </row>
    <row r="101" spans="1:42" ht="91.8" x14ac:dyDescent="0.2">
      <c r="A101" s="3">
        <v>444</v>
      </c>
      <c r="B101" s="3" t="s">
        <v>103</v>
      </c>
      <c r="C101" s="3" t="s">
        <v>104</v>
      </c>
      <c r="D101" s="3" t="s">
        <v>33</v>
      </c>
      <c r="E101" s="3" t="s">
        <v>105</v>
      </c>
      <c r="F101" s="3">
        <v>8900</v>
      </c>
      <c r="G101" s="3" t="s">
        <v>106</v>
      </c>
      <c r="H101" s="3">
        <v>20205203</v>
      </c>
      <c r="I101" s="3" t="s">
        <v>28</v>
      </c>
      <c r="J101" s="6" t="s">
        <v>333</v>
      </c>
      <c r="K101" s="6" t="s">
        <v>328</v>
      </c>
      <c r="L101" s="6" t="str">
        <f t="shared" si="23"/>
        <v>Tebbestrup Jordtip</v>
      </c>
      <c r="M101" s="8" t="s">
        <v>330</v>
      </c>
      <c r="N101" s="6" t="str">
        <f t="shared" si="24"/>
        <v>JORDTIP</v>
      </c>
      <c r="O101" s="8" t="s">
        <v>331</v>
      </c>
      <c r="P101" s="6" t="str">
        <f t="shared" si="25"/>
        <v>Tebbestrup Jordtip</v>
      </c>
      <c r="Q101" s="8" t="s">
        <v>329</v>
      </c>
      <c r="R101" s="6" t="str">
        <f t="shared" si="26"/>
        <v>Tebbestrupvej 178</v>
      </c>
      <c r="S101" s="8" t="s">
        <v>324</v>
      </c>
      <c r="T101" s="8">
        <f t="shared" si="27"/>
        <v>8900</v>
      </c>
      <c r="U101" s="8" t="s">
        <v>325</v>
      </c>
      <c r="V101" s="8" t="str">
        <f t="shared" si="28"/>
        <v>Randers C</v>
      </c>
      <c r="W101" s="8" t="s">
        <v>329</v>
      </c>
      <c r="X101" s="8" t="str">
        <f t="shared" si="29"/>
        <v>Kræves dispensation ?</v>
      </c>
      <c r="Y101" s="8" t="s">
        <v>332</v>
      </c>
      <c r="Z101" s="8" t="str">
        <f t="shared" si="30"/>
        <v>Nej</v>
      </c>
      <c r="AA101" s="6" t="s">
        <v>334</v>
      </c>
      <c r="AB101" s="6"/>
      <c r="AD101" t="s">
        <v>322</v>
      </c>
      <c r="AE101" t="str">
        <f t="shared" si="31"/>
        <v>Tebbestrup Jordtip</v>
      </c>
      <c r="AF101" s="4" t="s">
        <v>323</v>
      </c>
      <c r="AG101" t="str">
        <f t="shared" si="32"/>
        <v>Tebbestrupvej 178</v>
      </c>
      <c r="AH101" s="4" t="s">
        <v>324</v>
      </c>
      <c r="AI101">
        <f t="shared" si="33"/>
        <v>8900</v>
      </c>
      <c r="AJ101" t="s">
        <v>325</v>
      </c>
      <c r="AK101" t="str">
        <f t="shared" si="34"/>
        <v>Randers C</v>
      </c>
      <c r="AL101" s="4" t="s">
        <v>324</v>
      </c>
      <c r="AM101">
        <f t="shared" si="35"/>
        <v>20205203</v>
      </c>
      <c r="AN101" t="s">
        <v>326</v>
      </c>
      <c r="AO101">
        <v>0</v>
      </c>
      <c r="AP101" t="s">
        <v>327</v>
      </c>
    </row>
    <row r="102" spans="1:42" ht="91.8" x14ac:dyDescent="0.2">
      <c r="A102" s="2">
        <v>1036</v>
      </c>
      <c r="B102" s="2" t="s">
        <v>212</v>
      </c>
      <c r="C102" s="2" t="s">
        <v>32</v>
      </c>
      <c r="D102" s="2" t="s">
        <v>33</v>
      </c>
      <c r="E102" s="2" t="s">
        <v>213</v>
      </c>
      <c r="F102" s="2">
        <v>8355</v>
      </c>
      <c r="G102" s="2" t="s">
        <v>214</v>
      </c>
      <c r="H102" s="2">
        <v>40596576</v>
      </c>
      <c r="I102" s="2" t="s">
        <v>28</v>
      </c>
      <c r="J102" s="6" t="s">
        <v>333</v>
      </c>
      <c r="K102" s="6" t="s">
        <v>328</v>
      </c>
      <c r="L102" s="6" t="str">
        <f t="shared" si="23"/>
        <v>Thorkild Pedersen</v>
      </c>
      <c r="M102" s="8" t="s">
        <v>330</v>
      </c>
      <c r="N102" s="6" t="str">
        <f t="shared" si="24"/>
        <v>JORDTIP</v>
      </c>
      <c r="O102" s="8" t="s">
        <v>331</v>
      </c>
      <c r="P102" s="6" t="str">
        <f t="shared" si="25"/>
        <v>Thorkild Pedersen</v>
      </c>
      <c r="Q102" s="8" t="s">
        <v>329</v>
      </c>
      <c r="R102" s="6" t="str">
        <f t="shared" si="26"/>
        <v>Tisetvej 29</v>
      </c>
      <c r="S102" s="8" t="s">
        <v>324</v>
      </c>
      <c r="T102" s="8">
        <f t="shared" si="27"/>
        <v>8355</v>
      </c>
      <c r="U102" s="8" t="s">
        <v>325</v>
      </c>
      <c r="V102" s="8" t="str">
        <f t="shared" si="28"/>
        <v>Solbjerg</v>
      </c>
      <c r="W102" s="8" t="s">
        <v>329</v>
      </c>
      <c r="X102" s="8" t="str">
        <f t="shared" si="29"/>
        <v>-</v>
      </c>
      <c r="Y102" s="8" t="s">
        <v>332</v>
      </c>
      <c r="Z102" s="8" t="str">
        <f t="shared" si="30"/>
        <v>Nej</v>
      </c>
      <c r="AA102" s="6" t="s">
        <v>334</v>
      </c>
      <c r="AB102" s="7"/>
      <c r="AD102" t="s">
        <v>322</v>
      </c>
      <c r="AE102" t="str">
        <f t="shared" si="31"/>
        <v>Thorkild Pedersen</v>
      </c>
      <c r="AF102" s="4" t="s">
        <v>323</v>
      </c>
      <c r="AG102" t="str">
        <f t="shared" si="32"/>
        <v>Tisetvej 29</v>
      </c>
      <c r="AH102" s="4" t="s">
        <v>324</v>
      </c>
      <c r="AI102">
        <f t="shared" si="33"/>
        <v>8355</v>
      </c>
      <c r="AJ102" t="s">
        <v>325</v>
      </c>
      <c r="AK102" t="str">
        <f t="shared" si="34"/>
        <v>Solbjerg</v>
      </c>
      <c r="AL102" s="4" t="s">
        <v>324</v>
      </c>
      <c r="AM102">
        <f t="shared" si="35"/>
        <v>40596576</v>
      </c>
      <c r="AN102" t="s">
        <v>326</v>
      </c>
      <c r="AO102">
        <v>0</v>
      </c>
      <c r="AP102" t="s">
        <v>327</v>
      </c>
    </row>
    <row r="103" spans="1:42" ht="91.8" x14ac:dyDescent="0.2">
      <c r="A103" s="3">
        <v>524</v>
      </c>
      <c r="B103" s="3" t="s">
        <v>117</v>
      </c>
      <c r="C103" s="3"/>
      <c r="D103" s="3" t="s">
        <v>33</v>
      </c>
      <c r="E103" s="3" t="s">
        <v>32</v>
      </c>
      <c r="F103" s="3">
        <v>8000</v>
      </c>
      <c r="G103" s="3" t="s">
        <v>35</v>
      </c>
      <c r="H103" s="3">
        <v>0</v>
      </c>
      <c r="I103" s="3" t="s">
        <v>14</v>
      </c>
      <c r="J103" s="6" t="s">
        <v>333</v>
      </c>
      <c r="K103" s="6" t="s">
        <v>328</v>
      </c>
      <c r="L103" s="6" t="str">
        <f t="shared" si="23"/>
        <v>Ukendt</v>
      </c>
      <c r="M103" s="8" t="s">
        <v>330</v>
      </c>
      <c r="N103" s="6" t="str">
        <f t="shared" si="24"/>
        <v>JORDTIP</v>
      </c>
      <c r="O103" s="8" t="s">
        <v>331</v>
      </c>
      <c r="P103" s="6" t="str">
        <f t="shared" si="25"/>
        <v>Ukendt</v>
      </c>
      <c r="Q103" s="8" t="s">
        <v>329</v>
      </c>
      <c r="R103" s="6" t="str">
        <f t="shared" si="26"/>
        <v>-</v>
      </c>
      <c r="S103" s="8" t="s">
        <v>324</v>
      </c>
      <c r="T103" s="8">
        <f t="shared" si="27"/>
        <v>8000</v>
      </c>
      <c r="U103" s="8" t="s">
        <v>325</v>
      </c>
      <c r="V103" s="8" t="str">
        <f t="shared" si="28"/>
        <v>Aarhus C</v>
      </c>
      <c r="W103" s="8" t="s">
        <v>329</v>
      </c>
      <c r="X103" s="8">
        <f t="shared" si="29"/>
        <v>0</v>
      </c>
      <c r="Y103" s="8" t="s">
        <v>332</v>
      </c>
      <c r="Z103" s="8" t="str">
        <f t="shared" si="30"/>
        <v>Ja</v>
      </c>
      <c r="AA103" s="6" t="s">
        <v>334</v>
      </c>
      <c r="AB103" s="6"/>
      <c r="AD103" t="s">
        <v>322</v>
      </c>
      <c r="AE103" t="str">
        <f t="shared" si="31"/>
        <v>Ukendt</v>
      </c>
      <c r="AF103" s="4" t="s">
        <v>323</v>
      </c>
      <c r="AG103" t="str">
        <f t="shared" si="32"/>
        <v>-</v>
      </c>
      <c r="AH103" s="4" t="s">
        <v>324</v>
      </c>
      <c r="AI103">
        <f t="shared" si="33"/>
        <v>8000</v>
      </c>
      <c r="AJ103" t="s">
        <v>325</v>
      </c>
      <c r="AK103" t="str">
        <f t="shared" si="34"/>
        <v>Aarhus C</v>
      </c>
      <c r="AL103" s="4" t="s">
        <v>324</v>
      </c>
      <c r="AM103">
        <f t="shared" si="35"/>
        <v>0</v>
      </c>
      <c r="AN103" t="s">
        <v>326</v>
      </c>
      <c r="AO103">
        <v>1</v>
      </c>
      <c r="AP103" t="s">
        <v>327</v>
      </c>
    </row>
    <row r="104" spans="1:42" ht="91.8" x14ac:dyDescent="0.2">
      <c r="A104" s="2">
        <v>1124</v>
      </c>
      <c r="B104" s="2" t="s">
        <v>226</v>
      </c>
      <c r="C104" s="2" t="s">
        <v>227</v>
      </c>
      <c r="D104" s="2" t="s">
        <v>33</v>
      </c>
      <c r="E104" s="2" t="s">
        <v>228</v>
      </c>
      <c r="F104" s="2">
        <v>8000</v>
      </c>
      <c r="G104" s="2" t="s">
        <v>35</v>
      </c>
      <c r="H104" s="2">
        <v>20206160</v>
      </c>
      <c r="I104" s="2" t="s">
        <v>28</v>
      </c>
      <c r="J104" s="6" t="s">
        <v>333</v>
      </c>
      <c r="K104" s="6" t="s">
        <v>328</v>
      </c>
      <c r="L104" s="6" t="str">
        <f t="shared" si="23"/>
        <v>V. Regnvandsbassin</v>
      </c>
      <c r="M104" s="8" t="s">
        <v>330</v>
      </c>
      <c r="N104" s="6" t="str">
        <f t="shared" si="24"/>
        <v>JORDTIP</v>
      </c>
      <c r="O104" s="8" t="s">
        <v>331</v>
      </c>
      <c r="P104" s="6" t="str">
        <f t="shared" si="25"/>
        <v>V. Regnvandsbassin</v>
      </c>
      <c r="Q104" s="8" t="s">
        <v>329</v>
      </c>
      <c r="R104" s="6" t="str">
        <f t="shared" si="26"/>
        <v>Carl Blochs Gade 26</v>
      </c>
      <c r="S104" s="8" t="s">
        <v>324</v>
      </c>
      <c r="T104" s="8">
        <f t="shared" si="27"/>
        <v>8000</v>
      </c>
      <c r="U104" s="8" t="s">
        <v>325</v>
      </c>
      <c r="V104" s="8" t="str">
        <f t="shared" si="28"/>
        <v>Aarhus C</v>
      </c>
      <c r="W104" s="8" t="s">
        <v>329</v>
      </c>
      <c r="X104" s="8" t="str">
        <f t="shared" si="29"/>
        <v>2187a Århus Bygrunde</v>
      </c>
      <c r="Y104" s="8" t="s">
        <v>332</v>
      </c>
      <c r="Z104" s="8" t="str">
        <f t="shared" si="30"/>
        <v>Nej</v>
      </c>
      <c r="AA104" s="6" t="s">
        <v>334</v>
      </c>
      <c r="AB104" s="7"/>
      <c r="AD104" t="s">
        <v>322</v>
      </c>
      <c r="AE104" t="str">
        <f t="shared" si="31"/>
        <v>V. Regnvandsbassin</v>
      </c>
      <c r="AF104" s="4" t="s">
        <v>323</v>
      </c>
      <c r="AG104" t="str">
        <f t="shared" si="32"/>
        <v>Carl Blochs Gade 26</v>
      </c>
      <c r="AH104" s="4" t="s">
        <v>324</v>
      </c>
      <c r="AI104">
        <f t="shared" si="33"/>
        <v>8000</v>
      </c>
      <c r="AJ104" t="s">
        <v>325</v>
      </c>
      <c r="AK104" t="str">
        <f t="shared" si="34"/>
        <v>Aarhus C</v>
      </c>
      <c r="AL104" s="4" t="s">
        <v>324</v>
      </c>
      <c r="AM104">
        <f t="shared" si="35"/>
        <v>20206160</v>
      </c>
      <c r="AN104" t="s">
        <v>326</v>
      </c>
      <c r="AO104">
        <v>0</v>
      </c>
      <c r="AP104" t="s">
        <v>327</v>
      </c>
    </row>
    <row r="105" spans="1:42" ht="91.8" x14ac:dyDescent="0.2">
      <c r="A105" s="3">
        <v>904</v>
      </c>
      <c r="B105" s="3" t="s">
        <v>178</v>
      </c>
      <c r="C105" s="3" t="s">
        <v>179</v>
      </c>
      <c r="D105" s="3" t="s">
        <v>56</v>
      </c>
      <c r="E105" s="3" t="s">
        <v>180</v>
      </c>
      <c r="F105" s="3">
        <v>8200</v>
      </c>
      <c r="G105" s="3" t="s">
        <v>13</v>
      </c>
      <c r="H105" s="3">
        <v>25157221</v>
      </c>
      <c r="I105" s="3" t="s">
        <v>28</v>
      </c>
      <c r="J105" s="6" t="s">
        <v>333</v>
      </c>
      <c r="K105" s="6" t="s">
        <v>328</v>
      </c>
      <c r="L105" s="6" t="str">
        <f t="shared" si="23"/>
        <v>Vejdirektoratet, Henrik Broen</v>
      </c>
      <c r="M105" s="8" t="s">
        <v>330</v>
      </c>
      <c r="N105" s="6" t="str">
        <f t="shared" si="24"/>
        <v>GENANVENDELSE</v>
      </c>
      <c r="O105" s="8" t="s">
        <v>331</v>
      </c>
      <c r="P105" s="6" t="str">
        <f t="shared" si="25"/>
        <v>Vejdirektoratet, Henrik Broen</v>
      </c>
      <c r="Q105" s="8" t="s">
        <v>329</v>
      </c>
      <c r="R105" s="6" t="str">
        <f t="shared" si="26"/>
        <v>E45, afkørsel Århus Nord</v>
      </c>
      <c r="S105" s="8" t="s">
        <v>324</v>
      </c>
      <c r="T105" s="8">
        <f t="shared" si="27"/>
        <v>8200</v>
      </c>
      <c r="U105" s="8" t="s">
        <v>325</v>
      </c>
      <c r="V105" s="8" t="str">
        <f t="shared" si="28"/>
        <v>Aarhus N</v>
      </c>
      <c r="W105" s="8" t="s">
        <v>329</v>
      </c>
      <c r="X105" s="8" t="str">
        <f t="shared" si="29"/>
        <v>Gjort inaktiv da projektet forventes afsluttet</v>
      </c>
      <c r="Y105" s="8" t="s">
        <v>332</v>
      </c>
      <c r="Z105" s="8" t="str">
        <f t="shared" si="30"/>
        <v>Nej</v>
      </c>
      <c r="AA105" s="6" t="s">
        <v>334</v>
      </c>
      <c r="AB105" s="6"/>
      <c r="AD105" t="s">
        <v>322</v>
      </c>
      <c r="AE105" t="str">
        <f t="shared" si="31"/>
        <v>Vejdirektoratet, Henrik Broen</v>
      </c>
      <c r="AF105" s="4" t="s">
        <v>323</v>
      </c>
      <c r="AG105" t="str">
        <f t="shared" si="32"/>
        <v>E45, afkørsel Århus Nord</v>
      </c>
      <c r="AH105" s="4" t="s">
        <v>324</v>
      </c>
      <c r="AI105">
        <f t="shared" si="33"/>
        <v>8200</v>
      </c>
      <c r="AJ105" t="s">
        <v>325</v>
      </c>
      <c r="AK105" t="str">
        <f t="shared" si="34"/>
        <v>Aarhus N</v>
      </c>
      <c r="AL105" s="4" t="s">
        <v>324</v>
      </c>
      <c r="AM105">
        <f t="shared" si="35"/>
        <v>25157221</v>
      </c>
      <c r="AN105" t="s">
        <v>326</v>
      </c>
      <c r="AO105">
        <v>0</v>
      </c>
      <c r="AP105" t="s">
        <v>327</v>
      </c>
    </row>
    <row r="106" spans="1:42" ht="91.8" x14ac:dyDescent="0.2">
      <c r="A106" s="3">
        <v>1038</v>
      </c>
      <c r="B106" s="3" t="s">
        <v>215</v>
      </c>
      <c r="C106" s="3"/>
      <c r="D106" s="3" t="s">
        <v>33</v>
      </c>
      <c r="E106" s="3" t="s">
        <v>216</v>
      </c>
      <c r="F106" s="3">
        <v>8382</v>
      </c>
      <c r="G106" s="3" t="s">
        <v>89</v>
      </c>
      <c r="H106" s="3">
        <v>0</v>
      </c>
      <c r="I106" s="3" t="s">
        <v>28</v>
      </c>
      <c r="J106" s="6" t="s">
        <v>333</v>
      </c>
      <c r="K106" s="6" t="s">
        <v>328</v>
      </c>
      <c r="L106" s="6" t="str">
        <f t="shared" si="23"/>
        <v>Vejprojekt</v>
      </c>
      <c r="M106" s="8" t="s">
        <v>330</v>
      </c>
      <c r="N106" s="6" t="str">
        <f t="shared" si="24"/>
        <v>JORDTIP</v>
      </c>
      <c r="O106" s="8" t="s">
        <v>331</v>
      </c>
      <c r="P106" s="6" t="str">
        <f t="shared" si="25"/>
        <v>Vejprojekt</v>
      </c>
      <c r="Q106" s="8" t="s">
        <v>329</v>
      </c>
      <c r="R106" s="6" t="str">
        <f t="shared" si="26"/>
        <v>Hårvej 2</v>
      </c>
      <c r="S106" s="8" t="s">
        <v>324</v>
      </c>
      <c r="T106" s="8">
        <f t="shared" si="27"/>
        <v>8382</v>
      </c>
      <c r="U106" s="8" t="s">
        <v>325</v>
      </c>
      <c r="V106" s="8" t="str">
        <f t="shared" si="28"/>
        <v>Hinnerup</v>
      </c>
      <c r="W106" s="8" t="s">
        <v>329</v>
      </c>
      <c r="X106" s="8">
        <f t="shared" si="29"/>
        <v>0</v>
      </c>
      <c r="Y106" s="8" t="s">
        <v>332</v>
      </c>
      <c r="Z106" s="8" t="str">
        <f t="shared" si="30"/>
        <v>Nej</v>
      </c>
      <c r="AA106" s="6" t="s">
        <v>334</v>
      </c>
      <c r="AB106" s="6"/>
      <c r="AD106" t="s">
        <v>322</v>
      </c>
      <c r="AE106" t="str">
        <f t="shared" si="31"/>
        <v>Vejprojekt</v>
      </c>
      <c r="AF106" s="4" t="s">
        <v>323</v>
      </c>
      <c r="AG106" t="str">
        <f t="shared" si="32"/>
        <v>Hårvej 2</v>
      </c>
      <c r="AH106" s="4" t="s">
        <v>324</v>
      </c>
      <c r="AI106">
        <f t="shared" si="33"/>
        <v>8382</v>
      </c>
      <c r="AJ106" t="s">
        <v>325</v>
      </c>
      <c r="AK106" t="str">
        <f t="shared" si="34"/>
        <v>Hinnerup</v>
      </c>
      <c r="AL106" s="4" t="s">
        <v>324</v>
      </c>
      <c r="AM106">
        <f t="shared" si="35"/>
        <v>0</v>
      </c>
      <c r="AN106" t="s">
        <v>326</v>
      </c>
      <c r="AO106">
        <v>0</v>
      </c>
      <c r="AP106" t="s">
        <v>327</v>
      </c>
    </row>
    <row r="107" spans="1:42" ht="91.8" x14ac:dyDescent="0.2">
      <c r="A107" s="3">
        <v>724</v>
      </c>
      <c r="B107" s="3" t="s">
        <v>150</v>
      </c>
      <c r="C107" s="3" t="s">
        <v>151</v>
      </c>
      <c r="D107" s="3" t="s">
        <v>33</v>
      </c>
      <c r="E107" s="3" t="s">
        <v>152</v>
      </c>
      <c r="F107" s="3">
        <v>8000</v>
      </c>
      <c r="G107" s="3" t="s">
        <v>35</v>
      </c>
      <c r="H107" s="3">
        <v>0</v>
      </c>
      <c r="I107" s="3" t="s">
        <v>28</v>
      </c>
      <c r="J107" s="6" t="s">
        <v>333</v>
      </c>
      <c r="K107" s="6" t="s">
        <v>328</v>
      </c>
      <c r="L107" s="6" t="str">
        <f t="shared" si="23"/>
        <v>Z-huset</v>
      </c>
      <c r="M107" s="8" t="s">
        <v>330</v>
      </c>
      <c r="N107" s="6" t="str">
        <f t="shared" si="24"/>
        <v>JORDTIP</v>
      </c>
      <c r="O107" s="8" t="s">
        <v>331</v>
      </c>
      <c r="P107" s="6" t="str">
        <f t="shared" si="25"/>
        <v>Z-huset</v>
      </c>
      <c r="Q107" s="8" t="s">
        <v>329</v>
      </c>
      <c r="R107" s="6" t="str">
        <f t="shared" si="26"/>
        <v>Sverigsgade 38</v>
      </c>
      <c r="S107" s="8" t="s">
        <v>324</v>
      </c>
      <c r="T107" s="8">
        <f t="shared" si="27"/>
        <v>8000</v>
      </c>
      <c r="U107" s="8" t="s">
        <v>325</v>
      </c>
      <c r="V107" s="8" t="str">
        <f t="shared" si="28"/>
        <v>Aarhus C</v>
      </c>
      <c r="W107" s="8" t="s">
        <v>329</v>
      </c>
      <c r="X107" s="8" t="str">
        <f t="shared" si="29"/>
        <v>2148a og 2148di, Århus Bygrunde</v>
      </c>
      <c r="Y107" s="8" t="s">
        <v>332</v>
      </c>
      <c r="Z107" s="8" t="str">
        <f t="shared" si="30"/>
        <v>Nej</v>
      </c>
      <c r="AA107" s="6" t="s">
        <v>334</v>
      </c>
      <c r="AB107" s="6"/>
      <c r="AD107" t="s">
        <v>322</v>
      </c>
      <c r="AE107" t="str">
        <f t="shared" si="31"/>
        <v>Z-huset</v>
      </c>
      <c r="AF107" s="4" t="s">
        <v>323</v>
      </c>
      <c r="AG107" t="str">
        <f t="shared" si="32"/>
        <v>Sverigsgade 38</v>
      </c>
      <c r="AH107" s="4" t="s">
        <v>324</v>
      </c>
      <c r="AI107">
        <f t="shared" si="33"/>
        <v>8000</v>
      </c>
      <c r="AJ107" t="s">
        <v>325</v>
      </c>
      <c r="AK107" t="str">
        <f t="shared" si="34"/>
        <v>Aarhus C</v>
      </c>
      <c r="AL107" s="4" t="s">
        <v>324</v>
      </c>
      <c r="AM107">
        <f t="shared" si="35"/>
        <v>0</v>
      </c>
      <c r="AN107" t="s">
        <v>326</v>
      </c>
      <c r="AO107">
        <v>0</v>
      </c>
      <c r="AP107" t="s">
        <v>327</v>
      </c>
    </row>
    <row r="108" spans="1:42" ht="91.8" x14ac:dyDescent="0.2">
      <c r="A108" s="3">
        <v>484</v>
      </c>
      <c r="B108" s="3" t="s">
        <v>111</v>
      </c>
      <c r="C108" s="3"/>
      <c r="D108" s="3" t="s">
        <v>33</v>
      </c>
      <c r="E108" s="3" t="s">
        <v>112</v>
      </c>
      <c r="F108" s="3">
        <v>8000</v>
      </c>
      <c r="G108" s="3" t="s">
        <v>35</v>
      </c>
      <c r="H108" s="3">
        <v>20603754</v>
      </c>
      <c r="I108" s="3" t="s">
        <v>14</v>
      </c>
      <c r="J108" s="6" t="s">
        <v>333</v>
      </c>
      <c r="K108" s="6" t="s">
        <v>328</v>
      </c>
      <c r="L108" s="6" t="str">
        <f t="shared" si="23"/>
        <v>Aarhus Oliehavn - ren jord</v>
      </c>
      <c r="M108" s="8" t="s">
        <v>330</v>
      </c>
      <c r="N108" s="6" t="str">
        <f t="shared" si="24"/>
        <v>JORDTIP</v>
      </c>
      <c r="O108" s="8" t="s">
        <v>331</v>
      </c>
      <c r="P108" s="6" t="str">
        <f t="shared" si="25"/>
        <v>Aarhus Oliehavn - ren jord</v>
      </c>
      <c r="Q108" s="8" t="s">
        <v>329</v>
      </c>
      <c r="R108" s="6" t="str">
        <f t="shared" si="26"/>
        <v>Oliehavnsvej</v>
      </c>
      <c r="S108" s="8" t="s">
        <v>324</v>
      </c>
      <c r="T108" s="8">
        <f t="shared" si="27"/>
        <v>8000</v>
      </c>
      <c r="U108" s="8" t="s">
        <v>325</v>
      </c>
      <c r="V108" s="8" t="str">
        <f t="shared" si="28"/>
        <v>Aarhus C</v>
      </c>
      <c r="W108" s="8" t="s">
        <v>329</v>
      </c>
      <c r="X108" s="8">
        <f t="shared" si="29"/>
        <v>0</v>
      </c>
      <c r="Y108" s="8" t="s">
        <v>332</v>
      </c>
      <c r="Z108" s="8" t="str">
        <f t="shared" si="30"/>
        <v>Ja</v>
      </c>
      <c r="AA108" s="6" t="s">
        <v>334</v>
      </c>
      <c r="AB108" s="6"/>
      <c r="AD108" t="s">
        <v>322</v>
      </c>
      <c r="AE108" t="str">
        <f t="shared" si="31"/>
        <v>Aarhus Oliehavn - ren jord</v>
      </c>
      <c r="AF108" s="4" t="s">
        <v>323</v>
      </c>
      <c r="AG108" t="str">
        <f t="shared" si="32"/>
        <v>Oliehavnsvej</v>
      </c>
      <c r="AH108" s="4" t="s">
        <v>324</v>
      </c>
      <c r="AI108">
        <f t="shared" si="33"/>
        <v>8000</v>
      </c>
      <c r="AJ108" t="s">
        <v>325</v>
      </c>
      <c r="AK108" t="str">
        <f t="shared" si="34"/>
        <v>Aarhus C</v>
      </c>
      <c r="AL108" s="4" t="s">
        <v>324</v>
      </c>
      <c r="AM108">
        <f t="shared" si="35"/>
        <v>20603754</v>
      </c>
      <c r="AN108" t="s">
        <v>326</v>
      </c>
      <c r="AO108">
        <v>1</v>
      </c>
      <c r="AP108" t="s">
        <v>327</v>
      </c>
    </row>
    <row r="109" spans="1:42" ht="91.8" x14ac:dyDescent="0.2">
      <c r="A109" s="3">
        <v>1507</v>
      </c>
      <c r="B109" s="3" t="s">
        <v>303</v>
      </c>
      <c r="C109" s="3"/>
      <c r="D109" s="3" t="s">
        <v>11</v>
      </c>
      <c r="E109" s="3" t="s">
        <v>112</v>
      </c>
      <c r="F109" s="3">
        <v>8000</v>
      </c>
      <c r="G109" s="3" t="s">
        <v>35</v>
      </c>
      <c r="H109" s="3">
        <v>20603754</v>
      </c>
      <c r="I109" s="3" t="s">
        <v>14</v>
      </c>
      <c r="J109" s="6" t="s">
        <v>333</v>
      </c>
      <c r="K109" s="6" t="s">
        <v>328</v>
      </c>
      <c r="L109" s="6" t="str">
        <f t="shared" si="23"/>
        <v>Aarhus Oliehavn, let forurenet jord - opstart 1/2</v>
      </c>
      <c r="M109" s="8" t="s">
        <v>330</v>
      </c>
      <c r="N109" s="6" t="str">
        <f t="shared" si="24"/>
        <v>MIDLERTIDIG OPLAG</v>
      </c>
      <c r="O109" s="8" t="s">
        <v>331</v>
      </c>
      <c r="P109" s="6" t="str">
        <f t="shared" si="25"/>
        <v>Aarhus Oliehavn, let forurenet jord - opstart 1/2</v>
      </c>
      <c r="Q109" s="8" t="s">
        <v>329</v>
      </c>
      <c r="R109" s="6" t="str">
        <f t="shared" si="26"/>
        <v>Oliehavnsvej</v>
      </c>
      <c r="S109" s="8" t="s">
        <v>324</v>
      </c>
      <c r="T109" s="8">
        <f t="shared" si="27"/>
        <v>8000</v>
      </c>
      <c r="U109" s="8" t="s">
        <v>325</v>
      </c>
      <c r="V109" s="8" t="str">
        <f t="shared" si="28"/>
        <v>Aarhus C</v>
      </c>
      <c r="W109" s="8" t="s">
        <v>329</v>
      </c>
      <c r="X109" s="8">
        <f t="shared" si="29"/>
        <v>0</v>
      </c>
      <c r="Y109" s="8" t="s">
        <v>332</v>
      </c>
      <c r="Z109" s="8" t="str">
        <f t="shared" si="30"/>
        <v>Ja</v>
      </c>
      <c r="AA109" s="6" t="s">
        <v>334</v>
      </c>
      <c r="AB109" s="6"/>
      <c r="AD109" t="s">
        <v>322</v>
      </c>
      <c r="AE109" t="str">
        <f t="shared" si="31"/>
        <v>Aarhus Oliehavn, let forurenet jord - opstart 1/2</v>
      </c>
      <c r="AF109" s="4" t="s">
        <v>323</v>
      </c>
      <c r="AG109" t="str">
        <f t="shared" si="32"/>
        <v>Oliehavnsvej</v>
      </c>
      <c r="AH109" s="4" t="s">
        <v>324</v>
      </c>
      <c r="AI109">
        <f t="shared" si="33"/>
        <v>8000</v>
      </c>
      <c r="AJ109" t="s">
        <v>325</v>
      </c>
      <c r="AK109" t="str">
        <f t="shared" si="34"/>
        <v>Aarhus C</v>
      </c>
      <c r="AL109" s="4" t="s">
        <v>324</v>
      </c>
      <c r="AM109">
        <f t="shared" si="35"/>
        <v>20603754</v>
      </c>
      <c r="AN109" t="s">
        <v>326</v>
      </c>
      <c r="AO109">
        <v>1</v>
      </c>
      <c r="AP109" t="s">
        <v>327</v>
      </c>
    </row>
    <row r="110" spans="1:42" ht="91.8" x14ac:dyDescent="0.2">
      <c r="A110" s="2">
        <v>1513</v>
      </c>
      <c r="B110" s="2" t="s">
        <v>310</v>
      </c>
      <c r="C110" s="2" t="s">
        <v>311</v>
      </c>
      <c r="D110" s="2" t="s">
        <v>33</v>
      </c>
      <c r="E110" s="2" t="s">
        <v>312</v>
      </c>
      <c r="F110" s="2">
        <v>8000</v>
      </c>
      <c r="G110" s="2" t="s">
        <v>35</v>
      </c>
      <c r="H110" s="2">
        <v>89368215</v>
      </c>
      <c r="I110" s="2" t="s">
        <v>28</v>
      </c>
      <c r="J110" s="6" t="s">
        <v>333</v>
      </c>
      <c r="K110" s="6" t="s">
        <v>328</v>
      </c>
      <c r="L110" s="6" t="str">
        <f t="shared" si="23"/>
        <v>Aarhus Træskibshavn, Fiskerivej 24-28</v>
      </c>
      <c r="M110" s="8" t="s">
        <v>330</v>
      </c>
      <c r="N110" s="6" t="str">
        <f t="shared" si="24"/>
        <v>JORDTIP</v>
      </c>
      <c r="O110" s="8" t="s">
        <v>331</v>
      </c>
      <c r="P110" s="6" t="str">
        <f t="shared" si="25"/>
        <v>Aarhus Træskibshavn, Fiskerivej 24-28</v>
      </c>
      <c r="Q110" s="8" t="s">
        <v>329</v>
      </c>
      <c r="R110" s="6" t="str">
        <f t="shared" si="26"/>
        <v>Fiskerivej</v>
      </c>
      <c r="S110" s="8" t="s">
        <v>324</v>
      </c>
      <c r="T110" s="8">
        <f t="shared" si="27"/>
        <v>8000</v>
      </c>
      <c r="U110" s="8" t="s">
        <v>325</v>
      </c>
      <c r="V110" s="8" t="str">
        <f t="shared" si="28"/>
        <v>Aarhus C</v>
      </c>
      <c r="W110" s="8" t="s">
        <v>329</v>
      </c>
      <c r="X110" s="8" t="str">
        <f t="shared" si="29"/>
        <v>Havnebassin ud for matr. nr. 2148a</v>
      </c>
      <c r="Y110" s="8" t="s">
        <v>332</v>
      </c>
      <c r="Z110" s="8" t="str">
        <f t="shared" si="30"/>
        <v>Nej</v>
      </c>
      <c r="AA110" s="6" t="s">
        <v>334</v>
      </c>
      <c r="AB110" s="7"/>
      <c r="AD110" t="s">
        <v>322</v>
      </c>
      <c r="AE110" t="str">
        <f t="shared" si="31"/>
        <v>Aarhus Træskibshavn, Fiskerivej 24-28</v>
      </c>
      <c r="AF110" s="4" t="s">
        <v>323</v>
      </c>
      <c r="AG110" t="str">
        <f t="shared" si="32"/>
        <v>Fiskerivej</v>
      </c>
      <c r="AH110" s="4" t="s">
        <v>324</v>
      </c>
      <c r="AI110">
        <f t="shared" si="33"/>
        <v>8000</v>
      </c>
      <c r="AJ110" t="s">
        <v>325</v>
      </c>
      <c r="AK110" t="str">
        <f t="shared" si="34"/>
        <v>Aarhus C</v>
      </c>
      <c r="AL110" s="4" t="s">
        <v>324</v>
      </c>
      <c r="AM110">
        <f t="shared" si="35"/>
        <v>89368215</v>
      </c>
      <c r="AN110" t="s">
        <v>326</v>
      </c>
      <c r="AO110">
        <v>0</v>
      </c>
      <c r="AP110" t="s">
        <v>327</v>
      </c>
    </row>
    <row r="111" spans="1:42" ht="91.8" x14ac:dyDescent="0.2">
      <c r="A111" s="2">
        <v>57</v>
      </c>
      <c r="B111" s="2" t="s">
        <v>31</v>
      </c>
      <c r="C111" s="2" t="s">
        <v>32</v>
      </c>
      <c r="D111" s="2" t="s">
        <v>33</v>
      </c>
      <c r="E111" s="2" t="s">
        <v>34</v>
      </c>
      <c r="F111" s="2">
        <v>8000</v>
      </c>
      <c r="G111" s="2" t="s">
        <v>35</v>
      </c>
      <c r="H111" s="2">
        <v>24888367</v>
      </c>
      <c r="I111" s="2" t="s">
        <v>28</v>
      </c>
      <c r="J111" s="6" t="s">
        <v>333</v>
      </c>
      <c r="K111" s="6" t="s">
        <v>328</v>
      </c>
      <c r="L111" s="6" t="str">
        <f t="shared" si="23"/>
        <v>Aarhus Østhavn - TIPPEN LUKKER 19/10-2012</v>
      </c>
      <c r="M111" s="8" t="s">
        <v>330</v>
      </c>
      <c r="N111" s="6" t="str">
        <f t="shared" si="24"/>
        <v>JORDTIP</v>
      </c>
      <c r="O111" s="8" t="s">
        <v>331</v>
      </c>
      <c r="P111" s="6" t="str">
        <f t="shared" si="25"/>
        <v>Aarhus Østhavn - TIPPEN LUKKER 19/10-2012</v>
      </c>
      <c r="Q111" s="8" t="s">
        <v>329</v>
      </c>
      <c r="R111" s="6" t="str">
        <f t="shared" si="26"/>
        <v>Østhavnsvej</v>
      </c>
      <c r="S111" s="8" t="s">
        <v>324</v>
      </c>
      <c r="T111" s="8">
        <f t="shared" si="27"/>
        <v>8000</v>
      </c>
      <c r="U111" s="8" t="s">
        <v>325</v>
      </c>
      <c r="V111" s="8" t="str">
        <f t="shared" si="28"/>
        <v>Aarhus C</v>
      </c>
      <c r="W111" s="8" t="s">
        <v>329</v>
      </c>
      <c r="X111" s="8" t="str">
        <f t="shared" si="29"/>
        <v>-</v>
      </c>
      <c r="Y111" s="8" t="s">
        <v>332</v>
      </c>
      <c r="Z111" s="8" t="str">
        <f t="shared" si="30"/>
        <v>Nej</v>
      </c>
      <c r="AA111" s="6" t="s">
        <v>334</v>
      </c>
      <c r="AB111" s="7"/>
      <c r="AD111" t="s">
        <v>322</v>
      </c>
      <c r="AE111" t="str">
        <f t="shared" si="31"/>
        <v>Aarhus Østhavn - TIPPEN LUKKER 19/10-2012</v>
      </c>
      <c r="AF111" s="4" t="s">
        <v>323</v>
      </c>
      <c r="AG111" t="str">
        <f t="shared" si="32"/>
        <v>Østhavnsvej</v>
      </c>
      <c r="AH111" s="4" t="s">
        <v>324</v>
      </c>
      <c r="AI111">
        <f t="shared" si="33"/>
        <v>8000</v>
      </c>
      <c r="AJ111" t="s">
        <v>325</v>
      </c>
      <c r="AK111" t="str">
        <f t="shared" si="34"/>
        <v>Aarhus C</v>
      </c>
      <c r="AL111" s="4" t="s">
        <v>324</v>
      </c>
      <c r="AM111">
        <f t="shared" si="35"/>
        <v>24888367</v>
      </c>
      <c r="AN111" t="s">
        <v>326</v>
      </c>
      <c r="AO111">
        <v>0</v>
      </c>
      <c r="AP111" t="s">
        <v>327</v>
      </c>
    </row>
  </sheetData>
  <sortState ref="A2:I111">
    <sortCondition ref="B1"/>
  </sortState>
  <hyperlinks>
    <hyperlink ref="A1" r:id="rId1" display="javascript:__doPostBack('dgrStamdataModtager$_ctl1$_ctl0','')"/>
    <hyperlink ref="B1" r:id="rId2" display="javascript:__doPostBack('dgrStamdataModtager$_ctl1$_ctl1','')"/>
    <hyperlink ref="C1" r:id="rId3" display="javascript:__doPostBack('dgrStamdataModtager$_ctl1$_ctl2','')"/>
    <hyperlink ref="D1" r:id="rId4" display="javascript:__doPostBack('dgrStamdataModtager$_ctl1$_ctl3','')"/>
    <hyperlink ref="E1" r:id="rId5" display="javascript:__doPostBack('dgrStamdataModtager$_ctl1$_ctl4','')"/>
    <hyperlink ref="F1" r:id="rId6" display="javascript:__doPostBack('dgrStamdataModtager$_ctl1$_ctl5','')"/>
    <hyperlink ref="G1" r:id="rId7" display="javascript:__doPostBack('dgrStamdataModtager$_ctl1$_ctl6','')"/>
    <hyperlink ref="H1" r:id="rId8" display="javascript:__doPostBack('dgrStamdataModtager$_ctl1$_ctl7','')"/>
    <hyperlink ref="I1" r:id="rId9" display="javascript:__doPostBack('dgrStamdataModtager$_ctl1$_ctl8','')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Aarhus Kommune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Windows-bruger</dc:creator>
  <cp:lastModifiedBy>Kristian Holm Vester (KVE)</cp:lastModifiedBy>
  <dcterms:created xsi:type="dcterms:W3CDTF">2013-03-13T07:06:14Z</dcterms:created>
  <dcterms:modified xsi:type="dcterms:W3CDTF">2013-04-08T19:26:52Z</dcterms:modified>
</cp:coreProperties>
</file>